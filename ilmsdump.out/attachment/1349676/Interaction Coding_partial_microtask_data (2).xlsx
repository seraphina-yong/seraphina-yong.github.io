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613"/>
  <workbookPr showInkAnnotation="0" autoCompressPictures="0"/>
  <bookViews>
    <workbookView xWindow="0" yWindow="0" windowWidth="25600" windowHeight="16060" tabRatio="500"/>
  </bookViews>
  <sheets>
    <sheet name="20130514" sheetId="1" r:id="rId1"/>
  </sheets>
  <definedNames>
    <definedName name="_xlnm._FilterDatabase" localSheetId="0" hidden="1">'20130514'!$B$2:$N$206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" i="1" l="1"/>
  <c r="G3" i="1"/>
  <c r="K3" i="1"/>
  <c r="N3" i="1"/>
  <c r="F4" i="1"/>
  <c r="G4" i="1"/>
  <c r="K4" i="1"/>
  <c r="N4" i="1"/>
  <c r="F5" i="1"/>
  <c r="G5" i="1"/>
  <c r="K5" i="1"/>
  <c r="N5" i="1"/>
  <c r="G6" i="1"/>
  <c r="K6" i="1"/>
  <c r="N6" i="1"/>
  <c r="F7" i="1"/>
  <c r="G7" i="1"/>
  <c r="K7" i="1"/>
  <c r="N7" i="1"/>
  <c r="F8" i="1"/>
  <c r="G8" i="1"/>
  <c r="K8" i="1"/>
  <c r="N8" i="1"/>
  <c r="F9" i="1"/>
  <c r="G9" i="1"/>
  <c r="K9" i="1"/>
  <c r="N9" i="1"/>
  <c r="F10" i="1"/>
  <c r="G10" i="1"/>
  <c r="K10" i="1"/>
  <c r="N10" i="1"/>
  <c r="F11" i="1"/>
  <c r="G11" i="1"/>
  <c r="J11" i="1"/>
  <c r="K11" i="1"/>
  <c r="N11" i="1"/>
  <c r="F12" i="1"/>
  <c r="G12" i="1"/>
  <c r="J12" i="1"/>
  <c r="K12" i="1"/>
  <c r="N12" i="1"/>
  <c r="G13" i="1"/>
  <c r="J13" i="1"/>
  <c r="K13" i="1"/>
  <c r="N13" i="1"/>
  <c r="F14" i="1"/>
  <c r="G14" i="1"/>
  <c r="K14" i="1"/>
  <c r="F15" i="1"/>
  <c r="G15" i="1"/>
  <c r="K15" i="1"/>
  <c r="F16" i="1"/>
  <c r="G16" i="1"/>
  <c r="K16" i="1"/>
  <c r="F17" i="1"/>
  <c r="G17" i="1"/>
  <c r="K17" i="1"/>
  <c r="G18" i="1"/>
  <c r="J18" i="1"/>
  <c r="K18" i="1"/>
  <c r="N18" i="1"/>
  <c r="F19" i="1"/>
  <c r="G19" i="1"/>
  <c r="J19" i="1"/>
  <c r="K19" i="1"/>
  <c r="N19" i="1"/>
  <c r="G20" i="1"/>
  <c r="K20" i="1"/>
  <c r="N20" i="1"/>
  <c r="G21" i="1"/>
  <c r="K21" i="1"/>
  <c r="G22" i="1"/>
  <c r="J22" i="1"/>
  <c r="K22" i="1"/>
  <c r="G23" i="1"/>
  <c r="J23" i="1"/>
  <c r="K23" i="1"/>
  <c r="G24" i="1"/>
  <c r="J24" i="1"/>
  <c r="K24" i="1"/>
  <c r="F25" i="1"/>
  <c r="G25" i="1"/>
  <c r="K25" i="1"/>
  <c r="F26" i="1"/>
  <c r="G26" i="1"/>
  <c r="K26" i="1"/>
  <c r="G27" i="1"/>
  <c r="J27" i="1"/>
  <c r="K27" i="1"/>
  <c r="F28" i="1"/>
  <c r="G28" i="1"/>
  <c r="K28" i="1"/>
  <c r="G29" i="1"/>
  <c r="K29" i="1"/>
  <c r="F30" i="1"/>
  <c r="G30" i="1"/>
  <c r="K30" i="1"/>
  <c r="G31" i="1"/>
  <c r="K31" i="1"/>
  <c r="G32" i="1"/>
  <c r="K32" i="1"/>
  <c r="G33" i="1"/>
  <c r="K33" i="1"/>
  <c r="F34" i="1"/>
  <c r="G34" i="1"/>
  <c r="K34" i="1"/>
  <c r="F35" i="1"/>
  <c r="G35" i="1"/>
  <c r="K35" i="1"/>
  <c r="G36" i="1"/>
  <c r="K36" i="1"/>
  <c r="G37" i="1"/>
  <c r="J37" i="1"/>
  <c r="K37" i="1"/>
  <c r="G38" i="1"/>
  <c r="J38" i="1"/>
  <c r="K38" i="1"/>
  <c r="F39" i="1"/>
  <c r="G39" i="1"/>
  <c r="J39" i="1"/>
  <c r="K39" i="1"/>
  <c r="G40" i="1"/>
  <c r="K40" i="1"/>
  <c r="G41" i="1"/>
  <c r="K41" i="1"/>
  <c r="F42" i="1"/>
  <c r="G42" i="1"/>
  <c r="J42" i="1"/>
  <c r="K42" i="1"/>
  <c r="G43" i="1"/>
  <c r="K43" i="1"/>
  <c r="G44" i="1"/>
  <c r="K44" i="1"/>
  <c r="F45" i="1"/>
  <c r="G45" i="1"/>
  <c r="K45" i="1"/>
  <c r="F46" i="1"/>
  <c r="G46" i="1"/>
  <c r="J46" i="1"/>
  <c r="K46" i="1"/>
  <c r="F47" i="1"/>
  <c r="G47" i="1"/>
  <c r="J47" i="1"/>
  <c r="K47" i="1"/>
  <c r="F48" i="1"/>
  <c r="G48" i="1"/>
  <c r="J48" i="1"/>
  <c r="K48" i="1"/>
  <c r="G49" i="1"/>
  <c r="J49" i="1"/>
  <c r="K49" i="1"/>
  <c r="G50" i="1"/>
  <c r="K50" i="1"/>
  <c r="F51" i="1"/>
  <c r="G51" i="1"/>
  <c r="K51" i="1"/>
  <c r="F52" i="1"/>
  <c r="G52" i="1"/>
  <c r="K52" i="1"/>
  <c r="F53" i="1"/>
  <c r="G53" i="1"/>
  <c r="K53" i="1"/>
  <c r="G54" i="1"/>
  <c r="K54" i="1"/>
  <c r="F55" i="1"/>
  <c r="G55" i="1"/>
  <c r="K55" i="1"/>
  <c r="G56" i="1"/>
  <c r="K56" i="1"/>
  <c r="G57" i="1"/>
  <c r="J57" i="1"/>
  <c r="K57" i="1"/>
  <c r="G58" i="1"/>
  <c r="K58" i="1"/>
  <c r="G59" i="1"/>
  <c r="J59" i="1"/>
  <c r="K59" i="1"/>
  <c r="G60" i="1"/>
  <c r="K60" i="1"/>
  <c r="G61" i="1"/>
  <c r="J61" i="1"/>
  <c r="K61" i="1"/>
  <c r="F62" i="1"/>
  <c r="G62" i="1"/>
  <c r="J62" i="1"/>
  <c r="K62" i="1"/>
  <c r="G63" i="1"/>
  <c r="K63" i="1"/>
  <c r="F64" i="1"/>
  <c r="G64" i="1"/>
  <c r="K64" i="1"/>
  <c r="G65" i="1"/>
  <c r="K65" i="1"/>
  <c r="F66" i="1"/>
  <c r="G66" i="1"/>
  <c r="K66" i="1"/>
  <c r="G67" i="1"/>
  <c r="J67" i="1"/>
  <c r="K67" i="1"/>
  <c r="G68" i="1"/>
  <c r="J68" i="1"/>
  <c r="K68" i="1"/>
  <c r="N68" i="1"/>
  <c r="G69" i="1"/>
  <c r="J69" i="1"/>
  <c r="K69" i="1"/>
  <c r="N69" i="1"/>
  <c r="G70" i="1"/>
  <c r="J70" i="1"/>
  <c r="K70" i="1"/>
  <c r="G71" i="1"/>
  <c r="J71" i="1"/>
  <c r="K71" i="1"/>
  <c r="G72" i="1"/>
  <c r="K72" i="1"/>
  <c r="F73" i="1"/>
  <c r="G73" i="1"/>
  <c r="K73" i="1"/>
  <c r="F74" i="1"/>
  <c r="G74" i="1"/>
  <c r="J74" i="1"/>
  <c r="K74" i="1"/>
  <c r="F75" i="1"/>
  <c r="G75" i="1"/>
  <c r="J75" i="1"/>
  <c r="K75" i="1"/>
  <c r="F76" i="1"/>
  <c r="G76" i="1"/>
  <c r="J76" i="1"/>
  <c r="K76" i="1"/>
  <c r="F77" i="1"/>
  <c r="G77" i="1"/>
  <c r="J77" i="1"/>
  <c r="K77" i="1"/>
  <c r="F78" i="1"/>
  <c r="G78" i="1"/>
  <c r="J78" i="1"/>
  <c r="K78" i="1"/>
  <c r="F79" i="1"/>
  <c r="G79" i="1"/>
  <c r="K79" i="1"/>
  <c r="F80" i="1"/>
  <c r="G80" i="1"/>
  <c r="J80" i="1"/>
  <c r="K80" i="1"/>
  <c r="F81" i="1"/>
  <c r="G81" i="1"/>
  <c r="J81" i="1"/>
  <c r="K81" i="1"/>
  <c r="F82" i="1"/>
  <c r="G82" i="1"/>
  <c r="J82" i="1"/>
  <c r="K82" i="1"/>
  <c r="F83" i="1"/>
  <c r="G83" i="1"/>
  <c r="J83" i="1"/>
  <c r="K83" i="1"/>
  <c r="F84" i="1"/>
  <c r="G84" i="1"/>
  <c r="J84" i="1"/>
  <c r="K84" i="1"/>
  <c r="F85" i="1"/>
  <c r="G85" i="1"/>
  <c r="K85" i="1"/>
  <c r="F86" i="1"/>
  <c r="G86" i="1"/>
  <c r="J86" i="1"/>
  <c r="K86" i="1"/>
  <c r="F87" i="1"/>
  <c r="G87" i="1"/>
  <c r="J87" i="1"/>
  <c r="K87" i="1"/>
  <c r="F88" i="1"/>
  <c r="G88" i="1"/>
  <c r="J88" i="1"/>
  <c r="K88" i="1"/>
  <c r="G89" i="1"/>
  <c r="K89" i="1"/>
  <c r="G90" i="1"/>
  <c r="K90" i="1"/>
  <c r="F91" i="1"/>
  <c r="G91" i="1"/>
  <c r="K91" i="1"/>
  <c r="N91" i="1"/>
  <c r="F92" i="1"/>
  <c r="G92" i="1"/>
  <c r="K92" i="1"/>
  <c r="N92" i="1"/>
  <c r="G93" i="1"/>
  <c r="K93" i="1"/>
  <c r="N93" i="1"/>
  <c r="F94" i="1"/>
  <c r="G94" i="1"/>
  <c r="K94" i="1"/>
  <c r="N94" i="1"/>
  <c r="F95" i="1"/>
  <c r="G95" i="1"/>
  <c r="K95" i="1"/>
  <c r="N95" i="1"/>
  <c r="F96" i="1"/>
  <c r="G96" i="1"/>
  <c r="K96" i="1"/>
  <c r="N96" i="1"/>
  <c r="F97" i="1"/>
  <c r="G97" i="1"/>
  <c r="K97" i="1"/>
  <c r="N97" i="1"/>
  <c r="F98" i="1"/>
  <c r="G98" i="1"/>
  <c r="K98" i="1"/>
  <c r="N98" i="1"/>
  <c r="F99" i="1"/>
  <c r="G99" i="1"/>
  <c r="J99" i="1"/>
  <c r="K99" i="1"/>
  <c r="F100" i="1"/>
  <c r="G100" i="1"/>
  <c r="K100" i="1"/>
  <c r="G101" i="1"/>
  <c r="K101" i="1"/>
  <c r="F102" i="1"/>
  <c r="G102" i="1"/>
  <c r="K102" i="1"/>
  <c r="F103" i="1"/>
  <c r="G103" i="1"/>
  <c r="K103" i="1"/>
  <c r="F104" i="1"/>
  <c r="G104" i="1"/>
  <c r="K104" i="1"/>
  <c r="G105" i="1"/>
  <c r="K105" i="1"/>
  <c r="F106" i="1"/>
  <c r="G106" i="1"/>
  <c r="K106" i="1"/>
  <c r="G107" i="1"/>
  <c r="K107" i="1"/>
  <c r="G108" i="1"/>
  <c r="K108" i="1"/>
  <c r="F109" i="1"/>
  <c r="G109" i="1"/>
  <c r="J109" i="1"/>
  <c r="K109" i="1"/>
  <c r="N109" i="1"/>
  <c r="F110" i="1"/>
  <c r="G110" i="1"/>
  <c r="J110" i="1"/>
  <c r="K110" i="1"/>
  <c r="N110" i="1"/>
  <c r="F111" i="1"/>
  <c r="G111" i="1"/>
  <c r="J111" i="1"/>
  <c r="K111" i="1"/>
  <c r="N111" i="1"/>
  <c r="F112" i="1"/>
  <c r="G112" i="1"/>
  <c r="J112" i="1"/>
  <c r="K112" i="1"/>
  <c r="N112" i="1"/>
  <c r="F113" i="1"/>
  <c r="G113" i="1"/>
  <c r="J113" i="1"/>
  <c r="K113" i="1"/>
  <c r="N113" i="1"/>
  <c r="F114" i="1"/>
  <c r="G114" i="1"/>
  <c r="J114" i="1"/>
  <c r="K114" i="1"/>
  <c r="N114" i="1"/>
  <c r="F115" i="1"/>
  <c r="G115" i="1"/>
  <c r="J115" i="1"/>
  <c r="K115" i="1"/>
  <c r="F116" i="1"/>
  <c r="G116" i="1"/>
  <c r="J116" i="1"/>
  <c r="K116" i="1"/>
  <c r="G117" i="1"/>
  <c r="K117" i="1"/>
  <c r="F118" i="1"/>
  <c r="G118" i="1"/>
  <c r="K118" i="1"/>
  <c r="N118" i="1"/>
  <c r="F119" i="1"/>
  <c r="G119" i="1"/>
  <c r="K119" i="1"/>
  <c r="N119" i="1"/>
  <c r="F120" i="1"/>
  <c r="G120" i="1"/>
  <c r="K120" i="1"/>
  <c r="N120" i="1"/>
  <c r="F121" i="1"/>
  <c r="G121" i="1"/>
  <c r="J121" i="1"/>
  <c r="K121" i="1"/>
  <c r="N121" i="1"/>
  <c r="F122" i="1"/>
  <c r="G122" i="1"/>
  <c r="J122" i="1"/>
  <c r="K122" i="1"/>
  <c r="F123" i="1"/>
  <c r="G123" i="1"/>
  <c r="J123" i="1"/>
  <c r="K123" i="1"/>
  <c r="G124" i="1"/>
  <c r="J124" i="1"/>
  <c r="K124" i="1"/>
  <c r="F125" i="1"/>
  <c r="G125" i="1"/>
  <c r="J125" i="1"/>
  <c r="K125" i="1"/>
  <c r="G126" i="1"/>
  <c r="J126" i="1"/>
  <c r="K126" i="1"/>
  <c r="F127" i="1"/>
  <c r="G127" i="1"/>
  <c r="K127" i="1"/>
  <c r="F128" i="1"/>
  <c r="G128" i="1"/>
  <c r="J128" i="1"/>
  <c r="K128" i="1"/>
  <c r="G129" i="1"/>
  <c r="K129" i="1"/>
  <c r="F130" i="1"/>
  <c r="G130" i="1"/>
  <c r="K130" i="1"/>
  <c r="F131" i="1"/>
  <c r="G131" i="1"/>
  <c r="K131" i="1"/>
  <c r="G132" i="1"/>
  <c r="K132" i="1"/>
  <c r="F133" i="1"/>
  <c r="G133" i="1"/>
  <c r="K133" i="1"/>
  <c r="F134" i="1"/>
  <c r="G134" i="1"/>
  <c r="J134" i="1"/>
  <c r="K134" i="1"/>
  <c r="G135" i="1"/>
  <c r="J135" i="1"/>
  <c r="K135" i="1"/>
  <c r="N135" i="1"/>
  <c r="F136" i="1"/>
  <c r="G136" i="1"/>
  <c r="J136" i="1"/>
  <c r="K136" i="1"/>
  <c r="G137" i="1"/>
  <c r="J137" i="1"/>
  <c r="K137" i="1"/>
  <c r="G138" i="1"/>
  <c r="J138" i="1"/>
  <c r="K138" i="1"/>
  <c r="F139" i="1"/>
  <c r="G139" i="1"/>
  <c r="J139" i="1"/>
  <c r="K139" i="1"/>
  <c r="G140" i="1"/>
  <c r="J140" i="1"/>
  <c r="K140" i="1"/>
  <c r="N140" i="1"/>
  <c r="G141" i="1"/>
  <c r="K141" i="1"/>
  <c r="F142" i="1"/>
  <c r="G142" i="1"/>
  <c r="K142" i="1"/>
  <c r="N142" i="1"/>
  <c r="G143" i="1"/>
  <c r="K143" i="1"/>
  <c r="N143" i="1"/>
  <c r="F144" i="1"/>
  <c r="G144" i="1"/>
  <c r="J144" i="1"/>
  <c r="K144" i="1"/>
  <c r="N144" i="1"/>
  <c r="F145" i="1"/>
  <c r="G145" i="1"/>
  <c r="J145" i="1"/>
  <c r="K145" i="1"/>
  <c r="N145" i="1"/>
  <c r="G146" i="1"/>
  <c r="K146" i="1"/>
  <c r="N146" i="1"/>
  <c r="G147" i="1"/>
  <c r="K147" i="1"/>
  <c r="N147" i="1"/>
  <c r="G148" i="1"/>
  <c r="J148" i="1"/>
  <c r="K148" i="1"/>
  <c r="N148" i="1"/>
  <c r="G149" i="1"/>
  <c r="J149" i="1"/>
  <c r="K149" i="1"/>
  <c r="N149" i="1"/>
  <c r="G150" i="1"/>
  <c r="J150" i="1"/>
  <c r="K150" i="1"/>
  <c r="N150" i="1"/>
  <c r="F151" i="1"/>
  <c r="G151" i="1"/>
  <c r="J151" i="1"/>
  <c r="K151" i="1"/>
  <c r="N151" i="1"/>
  <c r="F152" i="1"/>
  <c r="G152" i="1"/>
  <c r="J152" i="1"/>
  <c r="K152" i="1"/>
  <c r="N152" i="1"/>
  <c r="F153" i="1"/>
  <c r="G153" i="1"/>
  <c r="J153" i="1"/>
  <c r="K153" i="1"/>
  <c r="N153" i="1"/>
  <c r="F154" i="1"/>
  <c r="G154" i="1"/>
  <c r="J154" i="1"/>
  <c r="K154" i="1"/>
  <c r="N154" i="1"/>
  <c r="F155" i="1"/>
  <c r="G155" i="1"/>
  <c r="J155" i="1"/>
  <c r="K155" i="1"/>
  <c r="N155" i="1"/>
  <c r="F156" i="1"/>
  <c r="G156" i="1"/>
  <c r="J156" i="1"/>
  <c r="K156" i="1"/>
  <c r="N156" i="1"/>
  <c r="F157" i="1"/>
  <c r="G157" i="1"/>
  <c r="J157" i="1"/>
  <c r="K157" i="1"/>
  <c r="N157" i="1"/>
  <c r="F158" i="1"/>
  <c r="G158" i="1"/>
  <c r="J158" i="1"/>
  <c r="K158" i="1"/>
  <c r="N158" i="1"/>
  <c r="F159" i="1"/>
  <c r="G159" i="1"/>
  <c r="J159" i="1"/>
  <c r="K159" i="1"/>
  <c r="N159" i="1"/>
  <c r="F160" i="1"/>
  <c r="G160" i="1"/>
  <c r="J160" i="1"/>
  <c r="K160" i="1"/>
  <c r="N160" i="1"/>
  <c r="G161" i="1"/>
  <c r="J161" i="1"/>
  <c r="K161" i="1"/>
  <c r="N161" i="1"/>
  <c r="F162" i="1"/>
  <c r="G162" i="1"/>
  <c r="J162" i="1"/>
  <c r="K162" i="1"/>
  <c r="N162" i="1"/>
  <c r="F163" i="1"/>
  <c r="G163" i="1"/>
  <c r="K163" i="1"/>
  <c r="N163" i="1"/>
  <c r="F164" i="1"/>
  <c r="G164" i="1"/>
  <c r="J164" i="1"/>
  <c r="K164" i="1"/>
  <c r="N164" i="1"/>
  <c r="G165" i="1"/>
  <c r="J165" i="1"/>
  <c r="K165" i="1"/>
  <c r="F166" i="1"/>
  <c r="G166" i="1"/>
  <c r="J166" i="1"/>
  <c r="K166" i="1"/>
  <c r="G167" i="1"/>
  <c r="J167" i="1"/>
  <c r="K167" i="1"/>
  <c r="F168" i="1"/>
  <c r="G168" i="1"/>
  <c r="K168" i="1"/>
  <c r="F169" i="1"/>
  <c r="G169" i="1"/>
  <c r="J169" i="1"/>
  <c r="K169" i="1"/>
  <c r="N169" i="1"/>
  <c r="G170" i="1"/>
  <c r="J170" i="1"/>
  <c r="K170" i="1"/>
  <c r="F171" i="1"/>
  <c r="G171" i="1"/>
  <c r="J171" i="1"/>
  <c r="K171" i="1"/>
  <c r="N171" i="1"/>
  <c r="G172" i="1"/>
  <c r="K172" i="1"/>
  <c r="F173" i="1"/>
  <c r="G173" i="1"/>
  <c r="J173" i="1"/>
  <c r="K173" i="1"/>
  <c r="G174" i="1"/>
  <c r="K174" i="1"/>
  <c r="F175" i="1"/>
  <c r="G175" i="1"/>
  <c r="J175" i="1"/>
  <c r="K175" i="1"/>
  <c r="N175" i="1"/>
  <c r="G176" i="1"/>
  <c r="J176" i="1"/>
  <c r="K176" i="1"/>
  <c r="G177" i="1"/>
  <c r="J177" i="1"/>
  <c r="K177" i="1"/>
  <c r="N177" i="1"/>
  <c r="G178" i="1"/>
  <c r="J178" i="1"/>
  <c r="K178" i="1"/>
  <c r="N178" i="1"/>
  <c r="G179" i="1"/>
  <c r="K179" i="1"/>
  <c r="N179" i="1"/>
  <c r="F180" i="1"/>
  <c r="G180" i="1"/>
  <c r="J180" i="1"/>
  <c r="K180" i="1"/>
  <c r="N180" i="1"/>
  <c r="F181" i="1"/>
  <c r="G181" i="1"/>
  <c r="J181" i="1"/>
  <c r="K181" i="1"/>
  <c r="N181" i="1"/>
  <c r="F182" i="1"/>
  <c r="G182" i="1"/>
  <c r="J182" i="1"/>
  <c r="K182" i="1"/>
  <c r="N182" i="1"/>
  <c r="F183" i="1"/>
  <c r="G183" i="1"/>
  <c r="J183" i="1"/>
  <c r="K183" i="1"/>
  <c r="N183" i="1"/>
  <c r="F184" i="1"/>
  <c r="G184" i="1"/>
  <c r="K184" i="1"/>
  <c r="N184" i="1"/>
  <c r="F185" i="1"/>
  <c r="G185" i="1"/>
  <c r="K185" i="1"/>
  <c r="N185" i="1"/>
  <c r="F186" i="1"/>
  <c r="G186" i="1"/>
  <c r="J186" i="1"/>
  <c r="K186" i="1"/>
  <c r="N186" i="1"/>
  <c r="G187" i="1"/>
  <c r="J187" i="1"/>
  <c r="K187" i="1"/>
  <c r="N187" i="1"/>
  <c r="F188" i="1"/>
  <c r="G188" i="1"/>
  <c r="J188" i="1"/>
  <c r="K188" i="1"/>
  <c r="N188" i="1"/>
  <c r="F189" i="1"/>
  <c r="G189" i="1"/>
  <c r="J189" i="1"/>
  <c r="K189" i="1"/>
  <c r="N189" i="1"/>
  <c r="F190" i="1"/>
  <c r="G190" i="1"/>
  <c r="J190" i="1"/>
  <c r="K190" i="1"/>
  <c r="N190" i="1"/>
  <c r="F191" i="1"/>
  <c r="G191" i="1"/>
  <c r="J191" i="1"/>
  <c r="K191" i="1"/>
  <c r="N191" i="1"/>
  <c r="F192" i="1"/>
  <c r="G192" i="1"/>
  <c r="J192" i="1"/>
  <c r="K192" i="1"/>
  <c r="N192" i="1"/>
  <c r="F193" i="1"/>
  <c r="G193" i="1"/>
  <c r="J193" i="1"/>
  <c r="K193" i="1"/>
  <c r="N193" i="1"/>
  <c r="F194" i="1"/>
  <c r="G194" i="1"/>
  <c r="J194" i="1"/>
  <c r="K194" i="1"/>
  <c r="N194" i="1"/>
  <c r="F195" i="1"/>
  <c r="G195" i="1"/>
  <c r="K195" i="1"/>
  <c r="N195" i="1"/>
  <c r="F196" i="1"/>
  <c r="G196" i="1"/>
  <c r="J196" i="1"/>
  <c r="K196" i="1"/>
  <c r="N196" i="1"/>
  <c r="F197" i="1"/>
  <c r="G197" i="1"/>
  <c r="J197" i="1"/>
  <c r="K197" i="1"/>
  <c r="F198" i="1"/>
  <c r="G198" i="1"/>
  <c r="K198" i="1"/>
  <c r="N198" i="1"/>
  <c r="F199" i="1"/>
  <c r="G199" i="1"/>
  <c r="J199" i="1"/>
  <c r="K199" i="1"/>
  <c r="N199" i="1"/>
  <c r="F200" i="1"/>
  <c r="G200" i="1"/>
  <c r="J200" i="1"/>
  <c r="K200" i="1"/>
  <c r="F201" i="1"/>
  <c r="G201" i="1"/>
  <c r="J201" i="1"/>
  <c r="K201" i="1"/>
  <c r="F202" i="1"/>
  <c r="G202" i="1"/>
  <c r="K202" i="1"/>
  <c r="F203" i="1"/>
  <c r="G203" i="1"/>
  <c r="K203" i="1"/>
  <c r="G204" i="1"/>
  <c r="K204" i="1"/>
  <c r="F205" i="1"/>
  <c r="G205" i="1"/>
  <c r="J205" i="1"/>
  <c r="K205" i="1"/>
  <c r="N205" i="1"/>
  <c r="F206" i="1"/>
  <c r="G206" i="1"/>
  <c r="J206" i="1"/>
  <c r="K206" i="1"/>
  <c r="N206" i="1"/>
</calcChain>
</file>

<file path=xl/sharedStrings.xml><?xml version="1.0" encoding="utf-8"?>
<sst xmlns="http://schemas.openxmlformats.org/spreadsheetml/2006/main" count="1443" uniqueCount="379">
  <si>
    <t>Content</t>
  </si>
  <si>
    <t>S?</t>
  </si>
  <si>
    <t>T</t>
    <phoneticPr fontId="2" type="noConversion"/>
  </si>
  <si>
    <t>SS</t>
    <phoneticPr fontId="2" type="noConversion"/>
  </si>
  <si>
    <t>S?</t>
    <phoneticPr fontId="2" type="noConversion"/>
  </si>
  <si>
    <t>Speaker</t>
    <phoneticPr fontId="2" type="noConversion"/>
  </si>
  <si>
    <t>SS</t>
    <phoneticPr fontId="2" type="noConversion"/>
  </si>
  <si>
    <t>S?</t>
    <phoneticPr fontId="2" type="noConversion"/>
  </si>
  <si>
    <t>SS</t>
    <phoneticPr fontId="2" type="noConversion"/>
  </si>
  <si>
    <t>XXX（人名）</t>
    <phoneticPr fontId="2" type="noConversion"/>
  </si>
  <si>
    <t>S?</t>
    <phoneticPr fontId="2" type="noConversion"/>
  </si>
  <si>
    <t>那我現在來教氯化氫那一題，氯化鈉加氯化氫那一題齁，改成A或Ｂ都可以。</t>
    <phoneticPr fontId="2" type="noConversion"/>
  </si>
  <si>
    <t>你如果是氯化鈉加氯化氫的話是B，氯化氫加氯化鈉就是A</t>
  </si>
  <si>
    <t>耶</t>
    <phoneticPr fontId="2" type="noConversion"/>
  </si>
  <si>
    <t>啊還有另外一題咧？</t>
    <phoneticPr fontId="2" type="noConversion"/>
  </si>
  <si>
    <t>然後，那個氯化銀那一題，應該是26吧，還是23？</t>
    <phoneticPr fontId="2" type="noConversion"/>
  </si>
  <si>
    <t>那一題有送分嗎？</t>
    <phoneticPr fontId="2" type="noConversion"/>
  </si>
  <si>
    <t>老師所以26是AB？</t>
    <phoneticPr fontId="2" type="noConversion"/>
  </si>
  <si>
    <t>對，26改成AB都可以。</t>
    <phoneticPr fontId="2" type="noConversion"/>
  </si>
  <si>
    <t>然後你們段考23他有一題氯化銀的沈澱對不對？</t>
    <phoneticPr fontId="2" type="noConversion"/>
  </si>
  <si>
    <t>對</t>
    <phoneticPr fontId="2" type="noConversion"/>
  </si>
  <si>
    <t>（群起激憤）光碟！！！？</t>
    <phoneticPr fontId="2" type="noConversion"/>
  </si>
  <si>
    <t>我跟你講，大家的疑問都一樣，因為他說那個題目很多都是從那個資優試題裡面出來的。</t>
    <phoneticPr fontId="2" type="noConversion"/>
  </si>
  <si>
    <t>討厭耶！</t>
    <phoneticPr fontId="2" type="noConversion"/>
  </si>
  <si>
    <t>真是的！</t>
    <phoneticPr fontId="2" type="noConversion"/>
  </si>
  <si>
    <t>好，先這樣，然後我們還有三題沒講對不對？</t>
    <phoneticPr fontId="2" type="noConversion"/>
  </si>
  <si>
    <t>好啦，一樣，每一排第一個出來算你那一排的人數。</t>
    <phoneticPr fontId="2" type="noConversion"/>
  </si>
  <si>
    <t>課本咧？要抄筆記啊！</t>
    <phoneticPr fontId="2" type="noConversion"/>
  </si>
  <si>
    <t>（set up）</t>
    <phoneticPr fontId="2" type="noConversion"/>
  </si>
  <si>
    <t>真的假的？</t>
    <phoneticPr fontId="2" type="noConversion"/>
  </si>
  <si>
    <t>我等下下去檢查筆記喔！</t>
    <phoneticPr fontId="2" type="noConversion"/>
  </si>
  <si>
    <t>老師可以用手機抄嗎？</t>
    <phoneticPr fontId="2" type="noConversion"/>
  </si>
  <si>
    <t>你眼睛有那麼厲害嗎？用那麼小的螢幕誒</t>
    <phoneticPr fontId="2" type="noConversion"/>
  </si>
  <si>
    <t>哈哈哈哈</t>
    <phoneticPr fontId="2" type="noConversion"/>
  </si>
  <si>
    <t>你好歹要有這麼大台的比較容易寫（拿起iPad）</t>
    <phoneticPr fontId="2" type="noConversion"/>
  </si>
  <si>
    <t>好，拿到先開機，然後一樣齁。</t>
    <phoneticPr fontId="2" type="noConversion"/>
  </si>
  <si>
    <t>沒有來的手機要不要拿？</t>
    <phoneticPr fontId="2" type="noConversion"/>
  </si>
  <si>
    <t>開機之後放在你桌面的左上角。</t>
    <phoneticPr fontId="2" type="noConversion"/>
  </si>
  <si>
    <t>他沒有來誒！</t>
    <phoneticPr fontId="2" type="noConversion"/>
  </si>
  <si>
    <t>他沒有來不用幫他拿啊，又不是要送給你們。</t>
    <phoneticPr fontId="2" type="noConversion"/>
  </si>
  <si>
    <t>要送給我們喔？</t>
    <phoneticPr fontId="2" type="noConversion"/>
  </si>
  <si>
    <t>S?</t>
    <phoneticPr fontId="2" type="noConversion"/>
  </si>
  <si>
    <t>沒有啦！</t>
    <phoneticPr fontId="2" type="noConversion"/>
  </si>
  <si>
    <t>有沒有人有拿到繩子有打結的？把iPod拿回來，那台有問題。繩子有打結拿回來，那堂有問題。</t>
    <phoneticPr fontId="2" type="noConversion"/>
  </si>
  <si>
    <t>沒有。</t>
    <phoneticPr fontId="2" type="noConversion"/>
  </si>
  <si>
    <t>沒有齁？</t>
    <phoneticPr fontId="2" type="noConversion"/>
  </si>
  <si>
    <t>好，所以今天沒做到的是XXX和OOO。一樣，到等待任務中。</t>
    <phoneticPr fontId="2" type="noConversion"/>
  </si>
  <si>
    <t>S?</t>
    <phoneticPr fontId="2" type="noConversion"/>
  </si>
  <si>
    <t>等一下咧，我還在開機。</t>
    <phoneticPr fontId="2" type="noConversion"/>
  </si>
  <si>
    <t>(set up)</t>
    <phoneticPr fontId="2" type="noConversion"/>
  </si>
  <si>
    <t>你還沒有到那個情境的請舉手，等待任務中，趕快！</t>
    <phoneticPr fontId="2" type="noConversion"/>
  </si>
  <si>
    <t>沒有我在$%^&amp;*(</t>
    <phoneticPr fontId="2" type="noConversion"/>
  </si>
  <si>
    <t>好.了.嗎.？</t>
    <phoneticPr fontId="2" type="noConversion"/>
  </si>
  <si>
    <t>好了。</t>
    <phoneticPr fontId="2" type="noConversion"/>
  </si>
  <si>
    <t>好了齁？還沒好的舉手？</t>
    <phoneticPr fontId="2" type="noConversion"/>
  </si>
  <si>
    <t>沒有任務啊？</t>
    <phoneticPr fontId="2" type="noConversion"/>
  </si>
  <si>
    <t>沒有任務～</t>
    <phoneticPr fontId="2" type="noConversion"/>
  </si>
  <si>
    <t>沒有任務啊！</t>
    <phoneticPr fontId="2" type="noConversion"/>
  </si>
  <si>
    <t>好來，那個都好了嗎？手機…不是是iPod</t>
    <phoneticPr fontId="2" type="noConversion"/>
  </si>
  <si>
    <t>不要挑我的語病。</t>
    <phoneticPr fontId="2" type="noConversion"/>
  </si>
  <si>
    <t>一百頁。</t>
    <phoneticPr fontId="2" type="noConversion"/>
  </si>
  <si>
    <t>XXX你有問題嗎？</t>
    <phoneticPr fontId="2" type="noConversion"/>
  </si>
  <si>
    <t>有</t>
    <phoneticPr fontId="2" type="noConversion"/>
  </si>
  <si>
    <t xml:space="preserve">來喔，看一下喔，五之一。這一章，是要教…… </t>
    <phoneticPr fontId="2" type="noConversion"/>
  </si>
  <si>
    <t>S9</t>
    <phoneticPr fontId="2" type="noConversion"/>
  </si>
  <si>
    <t>S9</t>
    <phoneticPr fontId="2" type="noConversion"/>
  </si>
  <si>
    <t>S?</t>
    <phoneticPr fontId="2" type="noConversion"/>
  </si>
  <si>
    <t>這一章，是要教…… 我以為你要是說你長相有問題。</t>
    <phoneticPr fontId="2" type="noConversion"/>
  </si>
  <si>
    <t>SS</t>
    <phoneticPr fontId="2" type="noConversion"/>
  </si>
  <si>
    <t>哈哈哈哈</t>
    <phoneticPr fontId="2" type="noConversion"/>
  </si>
  <si>
    <t>S9</t>
    <phoneticPr fontId="2" type="noConversion"/>
  </si>
  <si>
    <t>等一下攝影都看到你沒有在教書。</t>
    <phoneticPr fontId="2" type="noConversion"/>
  </si>
  <si>
    <t>SS</t>
    <phoneticPr fontId="2" type="noConversion"/>
  </si>
  <si>
    <t>哈哈哈哈</t>
    <phoneticPr fontId="2" type="noConversion"/>
  </si>
  <si>
    <t>後面那個，來看一下五之一，來同學，什麼是有機化合物喔？來同學，有機你有沒有聽過他的名字？</t>
    <phoneticPr fontId="2" type="noConversion"/>
  </si>
  <si>
    <t>S?</t>
    <phoneticPr fontId="2" type="noConversion"/>
  </si>
  <si>
    <t>S?</t>
    <phoneticPr fontId="2" type="noConversion"/>
  </si>
  <si>
    <t>沒有</t>
    <phoneticPr fontId="2" type="noConversion"/>
  </si>
  <si>
    <t>T</t>
    <phoneticPr fontId="2" type="noConversion"/>
  </si>
  <si>
    <t>沒有嗎？</t>
    <phoneticPr fontId="2" type="noConversion"/>
  </si>
  <si>
    <t>有機豆漿。</t>
    <phoneticPr fontId="2" type="noConversion"/>
  </si>
  <si>
    <t>來同學，有機讓你想到什麼？剛才XX講什麼？有機豆漿對不對？</t>
    <phoneticPr fontId="2" type="noConversion"/>
  </si>
  <si>
    <t>7,6</t>
    <phoneticPr fontId="2" type="noConversion"/>
  </si>
  <si>
    <t>6, 2</t>
    <phoneticPr fontId="2" type="noConversion"/>
  </si>
  <si>
    <t>那一題你們記不記得老師堅持不送分？因為他說光碟有那個題目，他認為你們應該都要會。</t>
    <phoneticPr fontId="2" type="noConversion"/>
  </si>
  <si>
    <t>我們以前大學的時候，常開玩笑，念化學系的，他就說，有機化學是讓男生學的，無機化學是讓女生學。這是化學系一直以來的笑話。</t>
    <phoneticPr fontId="2" type="noConversion"/>
  </si>
  <si>
    <t>對</t>
    <phoneticPr fontId="2" type="noConversion"/>
  </si>
  <si>
    <t>哈哈哈哈</t>
    <phoneticPr fontId="2" type="noConversion"/>
  </si>
  <si>
    <t>（拍手）</t>
  </si>
  <si>
    <t>聽這邊</t>
    <phoneticPr fontId="2" type="noConversion"/>
  </si>
  <si>
    <t>貴死了</t>
    <phoneticPr fontId="2" type="noConversion"/>
  </si>
  <si>
    <t>T</t>
    <phoneticPr fontId="2" type="noConversion"/>
  </si>
  <si>
    <t>剛不是說血液是有機化合物嗎？</t>
  </si>
  <si>
    <t>W</t>
    <phoneticPr fontId="2" type="noConversion"/>
  </si>
  <si>
    <t>C</t>
    <phoneticPr fontId="2" type="noConversion"/>
  </si>
  <si>
    <t>C</t>
    <phoneticPr fontId="2" type="noConversion"/>
  </si>
  <si>
    <t>現在齁，我要問你們。現在我要問你們，有機這兩個字會讓你想到什麼東西呢？</t>
    <phoneticPr fontId="2" type="noConversion"/>
  </si>
  <si>
    <t>S?</t>
    <phoneticPr fontId="2" type="noConversion"/>
  </si>
  <si>
    <t>誒有東西跑出來了</t>
    <phoneticPr fontId="2" type="noConversion"/>
  </si>
  <si>
    <t>什麼東西啦？</t>
    <phoneticPr fontId="2" type="noConversion"/>
  </si>
  <si>
    <t>SS</t>
    <phoneticPr fontId="2" type="noConversion"/>
  </si>
  <si>
    <t>沒有啊</t>
    <phoneticPr fontId="2" type="noConversion"/>
  </si>
  <si>
    <t>S?</t>
    <phoneticPr fontId="2" type="noConversion"/>
  </si>
  <si>
    <t>S?</t>
    <phoneticPr fontId="2" type="noConversion"/>
  </si>
  <si>
    <t>S9</t>
    <phoneticPr fontId="2" type="noConversion"/>
  </si>
  <si>
    <t>真的假的啦？</t>
    <phoneticPr fontId="2" type="noConversion"/>
  </si>
  <si>
    <t>有什麼獎品？</t>
    <phoneticPr fontId="2" type="noConversion"/>
  </si>
  <si>
    <t>獎品喔…… 獎品請跟後面的叔叔伯伯要。</t>
    <phoneticPr fontId="2" type="noConversion"/>
  </si>
  <si>
    <t>SS</t>
    <phoneticPr fontId="2" type="noConversion"/>
  </si>
  <si>
    <t>哎喲</t>
    <phoneticPr fontId="2" type="noConversion"/>
  </si>
  <si>
    <t>他們都比你年輕誒！</t>
    <phoneticPr fontId="2" type="noConversion"/>
  </si>
  <si>
    <t>SS</t>
    <phoneticPr fontId="2" type="noConversion"/>
  </si>
  <si>
    <t>哈哈哈哈</t>
    <phoneticPr fontId="2" type="noConversion"/>
  </si>
  <si>
    <t>T</t>
    <phoneticPr fontId="2" type="noConversion"/>
  </si>
  <si>
    <t>你等下下課去跟人家道歉</t>
    <phoneticPr fontId="2" type="noConversion"/>
  </si>
  <si>
    <t>好，同學來，看一下喔！目前二十九個人都投票了，你猜猜哪個最高票？</t>
    <phoneticPr fontId="2" type="noConversion"/>
  </si>
  <si>
    <t>SS</t>
    <phoneticPr fontId="2" type="noConversion"/>
  </si>
  <si>
    <t>OOO （應該是選項的名稱）</t>
    <phoneticPr fontId="2" type="noConversion"/>
  </si>
  <si>
    <t>恭喜選擇有機食品的同學！</t>
    <phoneticPr fontId="2" type="noConversion"/>
  </si>
  <si>
    <t>耶～～～（拍手）</t>
    <phoneticPr fontId="2" type="noConversion"/>
  </si>
  <si>
    <t>等一下可以領獎，掌聲鼓勵鼓勵</t>
    <phoneticPr fontId="2" type="noConversion"/>
  </si>
  <si>
    <t>好，送你們掌聲鼓勵鼓勵一個。</t>
    <phoneticPr fontId="2" type="noConversion"/>
  </si>
  <si>
    <t>爛死了</t>
    <phoneticPr fontId="2" type="noConversion"/>
  </si>
  <si>
    <t>那你們覺得有機食品是什麼東西？</t>
  </si>
  <si>
    <t>聽過吧？有機食品是什麼？</t>
    <phoneticPr fontId="2" type="noConversion"/>
  </si>
  <si>
    <t>沒有買</t>
    <phoneticPr fontId="2" type="noConversion"/>
  </si>
  <si>
    <t>就說沒有沒了嘛</t>
    <phoneticPr fontId="2" type="noConversion"/>
  </si>
  <si>
    <t>大潤發一顆高麗菜二十塊，可是呢，你到了有機...你知道我們中正路上有一家，來，噓～～～～（管理秩序）</t>
    <phoneticPr fontId="2" type="noConversion"/>
  </si>
  <si>
    <t>聽這邊</t>
    <phoneticPr fontId="2" type="noConversion"/>
  </si>
  <si>
    <t>來，同學，當初齁，大潤發一顆高麗菜二十塊，同學，你知道中正路在松青超市對面有一家食品行，一顆高麗菜八十塊。</t>
    <phoneticPr fontId="2" type="noConversion"/>
  </si>
  <si>
    <t>好貴噢</t>
    <phoneticPr fontId="2" type="noConversion"/>
  </si>
  <si>
    <t>你要知道坐在這邊就要上什麼東西？</t>
  </si>
  <si>
    <t>高麗菜！</t>
    <phoneticPr fontId="2" type="noConversion"/>
  </si>
  <si>
    <t>T</t>
    <phoneticPr fontId="2" type="noConversion"/>
  </si>
  <si>
    <t>你們都選有機食品嘛！那你們知不知道有機食品為什麼叫有機食品？</t>
    <phoneticPr fontId="2" type="noConversion"/>
  </si>
  <si>
    <t>來齁，從生物體產生的，我們把它叫做有機化合物。</t>
    <phoneticPr fontId="2" type="noConversion"/>
  </si>
  <si>
    <t>所以呢，舉例來說什麼東西？</t>
  </si>
  <si>
    <t>細胞啦！</t>
    <phoneticPr fontId="2" type="noConversion"/>
  </si>
  <si>
    <t>碳，碳。</t>
    <phoneticPr fontId="2" type="noConversion"/>
  </si>
  <si>
    <t>碳#$%^&amp;對不對？</t>
    <phoneticPr fontId="2" type="noConversion"/>
  </si>
  <si>
    <t>S?</t>
    <phoneticPr fontId="2" type="noConversion"/>
  </si>
  <si>
    <t>矽酸啦！</t>
    <phoneticPr fontId="2" type="noConversion"/>
  </si>
  <si>
    <t>XXX（人名）是由什麼構成的？</t>
    <phoneticPr fontId="2" type="noConversion"/>
  </si>
  <si>
    <t>好來，所以呢，舉例來說喔，回來回來回來回來。</t>
    <phoneticPr fontId="2" type="noConversion"/>
  </si>
  <si>
    <t>同學，人齁，身上有蛋白質。血液齁，像血液、蛋白質、尿液，是不是都是生物體產生的？對不對？所以他們都是什麼東西？有機化合物。</t>
    <phoneticPr fontId="2" type="noConversion"/>
  </si>
  <si>
    <t>這個是早期的定義，這是早期的定義。</t>
    <phoneticPr fontId="2" type="noConversion"/>
  </si>
  <si>
    <t>所以呢，我要你們用這個定義來判斷，你覺得…我們現在先看這個定義，先不看其它的定義，你先看這個定義。</t>
    <phoneticPr fontId="2" type="noConversion"/>
  </si>
  <si>
    <t>為什麼又跑出來了？</t>
    <phoneticPr fontId="2" type="noConversion"/>
  </si>
  <si>
    <t>你用這個定義來判斷就好了，你用這個定義來判斷就好了</t>
    <phoneticPr fontId="2" type="noConversion"/>
  </si>
  <si>
    <t>沒有就單選，而且你選了不能改噢</t>
    <phoneticPr fontId="2" type="noConversion"/>
  </si>
  <si>
    <t>（學生自行討論，聽不清楚）</t>
    <phoneticPr fontId="2" type="noConversion"/>
  </si>
  <si>
    <t>猜猜看目前最高票是哪一個？</t>
    <phoneticPr fontId="2" type="noConversion"/>
  </si>
  <si>
    <t>T</t>
    <phoneticPr fontId="2" type="noConversion"/>
  </si>
  <si>
    <t>T</t>
    <phoneticPr fontId="2" type="noConversion"/>
  </si>
  <si>
    <t>C</t>
    <phoneticPr fontId="2" type="noConversion"/>
  </si>
  <si>
    <t>S?</t>
    <phoneticPr fontId="2" type="noConversion"/>
  </si>
  <si>
    <t>SS</t>
    <phoneticPr fontId="2" type="noConversion"/>
  </si>
  <si>
    <t>T</t>
    <phoneticPr fontId="2" type="noConversion"/>
  </si>
  <si>
    <t>SS</t>
    <phoneticPr fontId="2" type="noConversion"/>
  </si>
  <si>
    <t>T</t>
    <phoneticPr fontId="2" type="noConversion"/>
  </si>
  <si>
    <t>S?</t>
    <phoneticPr fontId="2" type="noConversion"/>
  </si>
  <si>
    <t>老男人～</t>
    <phoneticPr fontId="2" type="noConversion"/>
  </si>
  <si>
    <t>來，有機這個字會讓你想到什麼東西呢？</t>
    <phoneticPr fontId="2" type="noConversion"/>
  </si>
  <si>
    <t>麻油雞啦</t>
    <phoneticPr fontId="2" type="noConversion"/>
  </si>
  <si>
    <t>看題目啦！</t>
    <phoneticPr fontId="2" type="noConversion"/>
  </si>
  <si>
    <t>來，看看你有沒有聽過這三個東西齁！</t>
    <phoneticPr fontId="2" type="noConversion"/>
  </si>
  <si>
    <t>現在全班29個人對不對？29票嘛齁？</t>
    <phoneticPr fontId="2" type="noConversion"/>
  </si>
  <si>
    <t>老師數據機怎麼變大了？</t>
    <phoneticPr fontId="2" type="noConversion"/>
  </si>
  <si>
    <t>昨天不是說網路不順會斷掉，所以今天換大台的。</t>
    <phoneticPr fontId="2" type="noConversion"/>
  </si>
  <si>
    <t>好，目前有十八人投票，你們知道目前最高票是哪一個嗎？</t>
    <phoneticPr fontId="2" type="noConversion"/>
  </si>
  <si>
    <t>S?</t>
    <phoneticPr fontId="2" type="noConversion"/>
  </si>
  <si>
    <t>第二個</t>
    <phoneticPr fontId="2" type="noConversion"/>
  </si>
  <si>
    <t>S9</t>
    <phoneticPr fontId="2" type="noConversion"/>
  </si>
  <si>
    <t>%^&amp;*投到上次就好了嗎？</t>
    <phoneticPr fontId="2" type="noConversion"/>
  </si>
  <si>
    <t>以前齁，以前我們在講有機食物的時候常常在講說『哎喲，ㄍㄧㄚˋ～來去買那個有機食品齁』有機食品</t>
    <phoneticPr fontId="2" type="noConversion"/>
  </si>
  <si>
    <t>很貴的東西</t>
    <phoneticPr fontId="2" type="noConversion"/>
  </si>
  <si>
    <t>所以呢，基本上齁，有機食品都很貴。但是呢同學，我們現在要拉回來。</t>
    <phoneticPr fontId="2" type="noConversion"/>
  </si>
  <si>
    <t>T</t>
    <phoneticPr fontId="2" type="noConversion"/>
  </si>
  <si>
    <t>SS</t>
    <phoneticPr fontId="2" type="noConversion"/>
  </si>
  <si>
    <t>理～化～</t>
    <phoneticPr fontId="2" type="noConversion"/>
  </si>
  <si>
    <t>理化，同學，我們在這邊上課會讓你想到什麼東西？</t>
    <phoneticPr fontId="2" type="noConversion"/>
  </si>
  <si>
    <t>S9</t>
    <phoneticPr fontId="2" type="noConversion"/>
  </si>
  <si>
    <t>所以呢，各位同學來，我們就要回歸到有機齁，同學在理化上的有機是什麼東西？</t>
    <phoneticPr fontId="2" type="noConversion"/>
  </si>
  <si>
    <t>看，……（找粉筆）我習慣啦每一班都會幫我排好好啊</t>
    <phoneticPr fontId="2" type="noConversion"/>
  </si>
  <si>
    <t>老師我可以玩遊戲嗎？</t>
    <phoneticPr fontId="2" type="noConversion"/>
  </si>
  <si>
    <t>現在是上課時間你可以玩遊戲嗎？</t>
    <phoneticPr fontId="2" type="noConversion"/>
  </si>
  <si>
    <t>S9</t>
    <phoneticPr fontId="2" type="noConversion"/>
  </si>
  <si>
    <t>可以</t>
    <phoneticPr fontId="2" type="noConversion"/>
  </si>
  <si>
    <t>$%^&amp;* （估計是閒聊）</t>
    <phoneticPr fontId="2" type="noConversion"/>
  </si>
  <si>
    <t>欸，你在講我就要檢查筆記了噢！</t>
    <phoneticPr fontId="2" type="noConversion"/>
  </si>
  <si>
    <t>來同學，第一個問題齁，有機化學是什麼東西？（寫黑板）</t>
    <phoneticPr fontId="2" type="noConversion"/>
  </si>
  <si>
    <t>好，有機化合物是什麼東西？（寫黑板）</t>
    <phoneticPr fontId="2" type="noConversion"/>
  </si>
  <si>
    <t>有機化合物是什麼東西？來看一下，他有兩個定義，第一個是早期的定義，第一個是早期的定義。第二個是現在的定義。</t>
    <phoneticPr fontId="2" type="noConversion"/>
  </si>
  <si>
    <t>來，比較早期的定義，同學，有機是什麼？它會讓你想到什麼？</t>
    <phoneticPr fontId="2" type="noConversion"/>
  </si>
  <si>
    <t>天然的</t>
    <phoneticPr fontId="2" type="noConversion"/>
  </si>
  <si>
    <t>天然的，然後呢？</t>
    <phoneticPr fontId="2" type="noConversion"/>
  </si>
  <si>
    <t>就是沒有撒農藥</t>
    <phoneticPr fontId="2" type="noConversion"/>
  </si>
  <si>
    <t>T</t>
    <phoneticPr fontId="2" type="noConversion"/>
  </si>
  <si>
    <t>來同學，其實有機食品的有機，跟這個有機不一樣，不太一樣。</t>
    <phoneticPr fontId="2" type="noConversion"/>
  </si>
  <si>
    <t>那同學我們現在就要講，這邊的有機是在講什麼，從生物體產生的叫做有機化合物。（寫黑板）</t>
    <phoneticPr fontId="2" type="noConversion"/>
  </si>
  <si>
    <t>T</t>
    <phoneticPr fontId="2" type="noConversion"/>
  </si>
  <si>
    <t>來，構成人的最主要的結構是什麼？</t>
    <phoneticPr fontId="2" type="noConversion"/>
  </si>
  <si>
    <t>2, 10</t>
    <phoneticPr fontId="2" type="noConversion"/>
  </si>
  <si>
    <t>2, 10</t>
    <phoneticPr fontId="2" type="noConversion"/>
  </si>
  <si>
    <t>水！水！水！水！</t>
    <phoneticPr fontId="2" type="noConversion"/>
  </si>
  <si>
    <t>T</t>
    <phoneticPr fontId="2" type="noConversion"/>
  </si>
  <si>
    <t>S?</t>
    <phoneticPr fontId="2" type="noConversion"/>
  </si>
  <si>
    <t>水和陽光</t>
    <phoneticPr fontId="2" type="noConversion"/>
  </si>
  <si>
    <t>還有媽媽的愛</t>
    <phoneticPr fontId="2" type="noConversion"/>
  </si>
  <si>
    <t>T</t>
    <phoneticPr fontId="2" type="noConversion"/>
  </si>
  <si>
    <t>S?</t>
    <phoneticPr fontId="2" type="noConversion"/>
  </si>
  <si>
    <t>猴子</t>
    <phoneticPr fontId="2" type="noConversion"/>
  </si>
  <si>
    <t>毛</t>
    <phoneticPr fontId="2" type="noConversion"/>
  </si>
  <si>
    <t>T</t>
    <phoneticPr fontId="2" type="noConversion"/>
  </si>
  <si>
    <t>因為我們從十八世紀以前，都是這個定義。</t>
    <phoneticPr fontId="2" type="noConversion"/>
  </si>
  <si>
    <t>所以你現在用這個定義來判斷一下，你覺得，下面哪一個東西，不是有機化合物呢？</t>
    <phoneticPr fontId="2" type="noConversion"/>
  </si>
  <si>
    <t>我覺得一跟三</t>
    <phoneticPr fontId="2" type="noConversion"/>
  </si>
  <si>
    <t>T</t>
    <phoneticPr fontId="2" type="noConversion"/>
  </si>
  <si>
    <t>目前25票，還有四位沒有投。</t>
    <phoneticPr fontId="2" type="noConversion"/>
  </si>
  <si>
    <t>誰還沒投啊？</t>
    <phoneticPr fontId="2" type="noConversion"/>
  </si>
  <si>
    <t>現在還有四位沒投票。</t>
    <phoneticPr fontId="2" type="noConversion"/>
  </si>
  <si>
    <t>SS</t>
    <phoneticPr fontId="2" type="noConversion"/>
  </si>
  <si>
    <t>（學生自行討論，聽不清楚）</t>
    <phoneticPr fontId="2" type="noConversion"/>
  </si>
  <si>
    <t>好來，同學，猜猜看，哪一個最高票？</t>
    <phoneticPr fontId="2" type="noConversion"/>
  </si>
  <si>
    <t>鐵尺</t>
    <phoneticPr fontId="2" type="noConversion"/>
  </si>
  <si>
    <t>血液</t>
    <phoneticPr fontId="2" type="noConversion"/>
  </si>
  <si>
    <t>T</t>
    <phoneticPr fontId="2" type="noConversion"/>
  </si>
  <si>
    <t>鐵尺最高票。</t>
    <phoneticPr fontId="2" type="noConversion"/>
  </si>
  <si>
    <t>其實齁，這一題，你們大家都認為是鐵尺對不對？</t>
    <phoneticPr fontId="2" type="noConversion"/>
  </si>
  <si>
    <t>對</t>
    <phoneticPr fontId="2" type="noConversion"/>
  </si>
  <si>
    <t>實際上鐵尺是不是有機化合物？</t>
    <phoneticPr fontId="2" type="noConversion"/>
  </si>
  <si>
    <t>不是</t>
    <phoneticPr fontId="2" type="noConversion"/>
  </si>
  <si>
    <t>T</t>
    <phoneticPr fontId="2" type="noConversion"/>
  </si>
  <si>
    <t>它真的不是有機化合物。</t>
    <phoneticPr fontId="2" type="noConversion"/>
  </si>
  <si>
    <t>同學，那我們還是發現齁，不只有一個人選血液啊！</t>
    <phoneticPr fontId="2" type="noConversion"/>
  </si>
  <si>
    <t>誰啊！</t>
    <phoneticPr fontId="2" type="noConversion"/>
  </si>
  <si>
    <t>那個，好，不要管那個人是誰了啦！反正我也不知道是誰。</t>
    <phoneticPr fontId="2" type="noConversion"/>
  </si>
  <si>
    <t>T</t>
    <phoneticPr fontId="2" type="noConversion"/>
  </si>
  <si>
    <t>來同學，有一個人選了桌子，同學，桌子是什麼產生的？</t>
    <phoneticPr fontId="2" type="noConversion"/>
  </si>
  <si>
    <t>木頭啊！</t>
    <phoneticPr fontId="2" type="noConversion"/>
  </si>
  <si>
    <t>好，桌子是由木頭產生的，木頭怎麼來的？</t>
    <phoneticPr fontId="2" type="noConversion"/>
  </si>
  <si>
    <t>SS</t>
    <phoneticPr fontId="2" type="noConversion"/>
  </si>
  <si>
    <t>樹啊</t>
    <phoneticPr fontId="2" type="noConversion"/>
  </si>
  <si>
    <t>好來，我先講木頭的，同學，樹是不是生物體？是，從樹過來的，再來同學，你們講塑膠，請問塑膠怎麼來的？</t>
    <phoneticPr fontId="2" type="noConversion"/>
  </si>
  <si>
    <t>塑膠是由石油化學工業過來的，所以呢？所以石油怎麼來的？古代的動物啊～～～經過常年高溫高壓，還是從生物體產生，對不對？</t>
    <phoneticPr fontId="2" type="noConversion"/>
  </si>
  <si>
    <t>T</t>
    <phoneticPr fontId="2" type="noConversion"/>
  </si>
  <si>
    <t>好，所以呢，同學，那請問，再根據這個定義，現在你可以想想看，哪些東西你覺得你想到的是有機物？哪些東西你想到你覺得它是無機物？</t>
    <phoneticPr fontId="2" type="noConversion"/>
  </si>
  <si>
    <t>C</t>
    <phoneticPr fontId="2" type="noConversion"/>
  </si>
  <si>
    <t>沒有問題喔？</t>
    <phoneticPr fontId="2" type="noConversion"/>
  </si>
  <si>
    <t>有沒有人要舉手發問？</t>
    <phoneticPr fontId="2" type="noConversion"/>
  </si>
  <si>
    <t>有沒有人要舉手發問？～</t>
    <phoneticPr fontId="2" type="noConversion"/>
  </si>
  <si>
    <t>S9</t>
    <phoneticPr fontId="2" type="noConversion"/>
  </si>
  <si>
    <t>汗水是不是有機化合物？</t>
    <phoneticPr fontId="2" type="noConversion"/>
  </si>
  <si>
    <t>為什麼他有我沒有？</t>
    <phoneticPr fontId="2" type="noConversion"/>
  </si>
  <si>
    <t>幹我沒有</t>
    <phoneticPr fontId="2" type="noConversion"/>
  </si>
  <si>
    <t>我都沒有</t>
    <phoneticPr fontId="2" type="noConversion"/>
  </si>
  <si>
    <t>我昨天不是講過有些題目是部分學生會有的嗎？</t>
    <phoneticPr fontId="2" type="noConversion"/>
  </si>
  <si>
    <t>好來，XXX你再重複一次你的問題。</t>
    <phoneticPr fontId="2" type="noConversion"/>
  </si>
  <si>
    <t>S9</t>
    <phoneticPr fontId="2" type="noConversion"/>
  </si>
  <si>
    <t>它上面寫汗水啦</t>
    <phoneticPr fontId="2" type="noConversion"/>
  </si>
  <si>
    <t>Topic</t>
    <phoneticPr fontId="2" type="noConversion"/>
  </si>
  <si>
    <t>等待任務中啊，我又沒有給任務當然沒有任務啊！你要顯示等待任務中啊！</t>
    <phoneticPr fontId="2" type="noConversion"/>
  </si>
  <si>
    <t>S</t>
  </si>
  <si>
    <t>M</t>
    <phoneticPr fontId="2" type="noConversion"/>
  </si>
  <si>
    <t>TR</t>
    <phoneticPr fontId="2" type="noConversion"/>
  </si>
  <si>
    <t>TI</t>
    <phoneticPr fontId="2" type="noConversion"/>
  </si>
  <si>
    <t>S</t>
    <phoneticPr fontId="2" type="noConversion"/>
  </si>
  <si>
    <t>R</t>
  </si>
  <si>
    <t>C</t>
  </si>
  <si>
    <t>C</t>
    <phoneticPr fontId="2" type="noConversion"/>
  </si>
  <si>
    <t>你有沒有想到什麼東西，你不知道他是否為有機物的？你可以舉手問老師看看
（以下是建議題目選項，學生應選一個舉手問老師）
汗水是不是有機物
鐵礦是不是有機物
病毒是不是有機物
細菌是不是有機物</t>
    <phoneticPr fontId="2" type="noConversion"/>
  </si>
  <si>
    <t>下面哪一個不是有機物？
尿液
血液
鐵尺
紙張
桌子</t>
    <phoneticPr fontId="2" type="noConversion"/>
  </si>
  <si>
    <t>過去有沒有聽過「有機」這兩個字，這兩個字讓你想到什麼？
有機肥料
有機食品
有機作物</t>
    <phoneticPr fontId="2" type="noConversion"/>
  </si>
  <si>
    <t>Ivy</t>
    <phoneticPr fontId="2" type="noConversion"/>
  </si>
  <si>
    <t>William</t>
    <phoneticPr fontId="2" type="noConversion"/>
  </si>
  <si>
    <t>Integrat</t>
    <phoneticPr fontId="2" type="noConversion"/>
  </si>
  <si>
    <t>Exchange</t>
    <phoneticPr fontId="2" type="noConversion"/>
  </si>
  <si>
    <t>W</t>
  </si>
  <si>
    <t>I</t>
  </si>
  <si>
    <t>RR</t>
  </si>
  <si>
    <t>R</t>
    <phoneticPr fontId="2" type="noConversion"/>
  </si>
  <si>
    <t>R</t>
    <phoneticPr fontId="2" type="noConversion"/>
  </si>
  <si>
    <t>W</t>
    <phoneticPr fontId="2" type="noConversion"/>
  </si>
  <si>
    <t>W</t>
    <phoneticPr fontId="2" type="noConversion"/>
  </si>
  <si>
    <t>R</t>
    <phoneticPr fontId="2" type="noConversion"/>
  </si>
  <si>
    <t>I</t>
    <phoneticPr fontId="2" type="noConversion"/>
  </si>
  <si>
    <t>TI</t>
    <phoneticPr fontId="2" type="noConversion"/>
  </si>
  <si>
    <t>TI</t>
    <phoneticPr fontId="2" type="noConversion"/>
  </si>
  <si>
    <t>S</t>
    <phoneticPr fontId="2" type="noConversion"/>
  </si>
  <si>
    <t>TI</t>
  </si>
  <si>
    <t>M</t>
  </si>
  <si>
    <t>TR</t>
  </si>
  <si>
    <t>R</t>
    <phoneticPr fontId="2" type="noConversion"/>
  </si>
  <si>
    <t>I</t>
    <phoneticPr fontId="2" type="noConversion"/>
  </si>
  <si>
    <t>W</t>
    <phoneticPr fontId="2" type="noConversion"/>
  </si>
  <si>
    <t>I</t>
    <phoneticPr fontId="2" type="noConversion"/>
  </si>
  <si>
    <t>I</t>
    <phoneticPr fontId="2" type="noConversion"/>
  </si>
  <si>
    <t>R</t>
    <phoneticPr fontId="2" type="noConversion"/>
  </si>
  <si>
    <t>I</t>
    <phoneticPr fontId="2" type="noConversion"/>
  </si>
  <si>
    <t>W</t>
    <phoneticPr fontId="2" type="noConversion"/>
  </si>
  <si>
    <t>I</t>
    <phoneticPr fontId="2" type="noConversion"/>
  </si>
  <si>
    <t>R</t>
    <phoneticPr fontId="2" type="noConversion"/>
  </si>
  <si>
    <t>R</t>
    <phoneticPr fontId="2" type="noConversion"/>
  </si>
  <si>
    <t>I</t>
    <phoneticPr fontId="2" type="noConversion"/>
  </si>
  <si>
    <t>R</t>
    <phoneticPr fontId="2" type="noConversion"/>
  </si>
  <si>
    <t>R</t>
    <phoneticPr fontId="2" type="noConversion"/>
  </si>
  <si>
    <t>W</t>
    <phoneticPr fontId="2" type="noConversion"/>
  </si>
  <si>
    <t>TR</t>
    <phoneticPr fontId="2" type="noConversion"/>
  </si>
  <si>
    <t>S</t>
    <phoneticPr fontId="2" type="noConversion"/>
  </si>
  <si>
    <t>S</t>
    <phoneticPr fontId="2" type="noConversion"/>
  </si>
  <si>
    <t>S</t>
    <phoneticPr fontId="2" type="noConversion"/>
  </si>
  <si>
    <t>S</t>
    <phoneticPr fontId="2" type="noConversion"/>
  </si>
  <si>
    <t>TI</t>
    <phoneticPr fontId="2" type="noConversion"/>
  </si>
  <si>
    <t>TR</t>
    <phoneticPr fontId="2" type="noConversion"/>
  </si>
  <si>
    <t>M</t>
    <phoneticPr fontId="2" type="noConversion"/>
  </si>
  <si>
    <t>M</t>
    <phoneticPr fontId="2" type="noConversion"/>
  </si>
  <si>
    <t>C</t>
    <phoneticPr fontId="2" type="noConversion"/>
  </si>
  <si>
    <t>iPod先把它放一邊。</t>
    <phoneticPr fontId="2" type="noConversion"/>
  </si>
  <si>
    <t>XX，來，第幾頁？一百……</t>
    <phoneticPr fontId="2" type="noConversion"/>
  </si>
  <si>
    <t>其實齁，三個都有人選，像有機肥料八票，有機食品十七票，有機作物有四票。</t>
    <phoneticPr fontId="2" type="noConversion"/>
  </si>
  <si>
    <t>N</t>
    <phoneticPr fontId="2" type="noConversion"/>
  </si>
  <si>
    <t>RR</t>
    <phoneticPr fontId="2" type="noConversion"/>
  </si>
  <si>
    <t>M</t>
    <phoneticPr fontId="2" type="noConversion"/>
  </si>
  <si>
    <t>I</t>
    <phoneticPr fontId="2" type="noConversion"/>
  </si>
  <si>
    <t>N</t>
    <phoneticPr fontId="2" type="noConversion"/>
  </si>
  <si>
    <t>R</t>
    <phoneticPr fontId="2" type="noConversion"/>
  </si>
  <si>
    <t>上次你跟人家講什麼阿姨？</t>
    <phoneticPr fontId="2" type="noConversion"/>
  </si>
  <si>
    <t>誰知道?</t>
    <phoneticPr fontId="2" type="noConversion"/>
  </si>
  <si>
    <t>什麼誰知道，你沒學過生物喔?</t>
    <phoneticPr fontId="2" type="noConversion"/>
  </si>
  <si>
    <t>S</t>
    <phoneticPr fontId="2" type="noConversion"/>
  </si>
  <si>
    <t>TR</t>
    <phoneticPr fontId="2" type="noConversion"/>
  </si>
  <si>
    <t>TR</t>
    <phoneticPr fontId="2" type="noConversion"/>
  </si>
  <si>
    <t>M</t>
    <phoneticPr fontId="2" type="noConversion"/>
  </si>
  <si>
    <t>TI</t>
    <phoneticPr fontId="2" type="noConversion"/>
  </si>
  <si>
    <t>S</t>
    <phoneticPr fontId="2" type="noConversion"/>
  </si>
  <si>
    <t>W</t>
    <phoneticPr fontId="2" type="noConversion"/>
  </si>
  <si>
    <t>I</t>
    <phoneticPr fontId="2" type="noConversion"/>
  </si>
  <si>
    <t>I</t>
    <phoneticPr fontId="2" type="noConversion"/>
  </si>
  <si>
    <t>R</t>
    <phoneticPr fontId="2" type="noConversion"/>
  </si>
  <si>
    <t>W</t>
    <phoneticPr fontId="2" type="noConversion"/>
  </si>
  <si>
    <t>N</t>
    <phoneticPr fontId="2" type="noConversion"/>
  </si>
  <si>
    <t>C</t>
    <phoneticPr fontId="2" type="noConversion"/>
  </si>
  <si>
    <t>S</t>
    <phoneticPr fontId="2" type="noConversion"/>
  </si>
  <si>
    <t>TR</t>
    <phoneticPr fontId="2" type="noConversion"/>
  </si>
  <si>
    <t>TR</t>
    <phoneticPr fontId="2" type="noConversion"/>
  </si>
  <si>
    <t>TR</t>
    <phoneticPr fontId="2" type="noConversion"/>
  </si>
  <si>
    <t>TR</t>
    <phoneticPr fontId="2" type="noConversion"/>
  </si>
  <si>
    <t>C</t>
    <phoneticPr fontId="2" type="noConversion"/>
  </si>
  <si>
    <t>S</t>
    <phoneticPr fontId="2" type="noConversion"/>
  </si>
  <si>
    <t>S</t>
    <phoneticPr fontId="2" type="noConversion"/>
  </si>
  <si>
    <t>TR</t>
    <phoneticPr fontId="2" type="noConversion"/>
  </si>
  <si>
    <t>TI</t>
    <phoneticPr fontId="2" type="noConversion"/>
  </si>
  <si>
    <t>TI</t>
    <phoneticPr fontId="2" type="noConversion"/>
  </si>
  <si>
    <t>TR</t>
    <phoneticPr fontId="2" type="noConversion"/>
  </si>
  <si>
    <t>TR</t>
    <phoneticPr fontId="2" type="noConversion"/>
  </si>
  <si>
    <t>TI</t>
    <phoneticPr fontId="2" type="noConversion"/>
  </si>
  <si>
    <t>TI</t>
    <phoneticPr fontId="2" type="noConversion"/>
  </si>
  <si>
    <t>I</t>
    <phoneticPr fontId="2" type="noConversion"/>
  </si>
  <si>
    <t>R</t>
    <phoneticPr fontId="2" type="noConversion"/>
  </si>
  <si>
    <t>N</t>
    <phoneticPr fontId="2" type="noConversion"/>
  </si>
  <si>
    <t>R</t>
    <phoneticPr fontId="2" type="noConversion"/>
  </si>
  <si>
    <t>I</t>
    <phoneticPr fontId="2" type="noConversion"/>
  </si>
  <si>
    <t>I</t>
    <phoneticPr fontId="2" type="noConversion"/>
  </si>
  <si>
    <t>W</t>
    <phoneticPr fontId="2" type="noConversion"/>
  </si>
  <si>
    <t>W</t>
    <phoneticPr fontId="2" type="noConversion"/>
  </si>
  <si>
    <t>I</t>
    <phoneticPr fontId="2" type="noConversion"/>
  </si>
  <si>
    <t>TR</t>
    <phoneticPr fontId="2" type="noConversion"/>
  </si>
  <si>
    <t>TI</t>
    <phoneticPr fontId="2" type="noConversion"/>
  </si>
  <si>
    <t>TR</t>
    <phoneticPr fontId="2" type="noConversion"/>
  </si>
  <si>
    <t>TI</t>
    <phoneticPr fontId="2" type="noConversion"/>
  </si>
  <si>
    <t>TI</t>
    <phoneticPr fontId="2" type="noConversion"/>
  </si>
  <si>
    <t>TI</t>
    <phoneticPr fontId="2" type="noConversion"/>
  </si>
  <si>
    <t>TI</t>
    <phoneticPr fontId="2" type="noConversion"/>
  </si>
  <si>
    <t>TI</t>
    <phoneticPr fontId="2" type="noConversion"/>
  </si>
  <si>
    <t>Bale's IPA</t>
    <phoneticPr fontId="2" type="noConversion"/>
  </si>
  <si>
    <t>Bale's IPA</t>
    <phoneticPr fontId="2" type="noConversion"/>
  </si>
  <si>
    <t>Bale's IPA</t>
    <phoneticPr fontId="2" type="noConversion"/>
  </si>
  <si>
    <t>等一下如果我們上到規定進度有時間，我再把那三題講一講。因為我們今天預定要把五之一上到%^&amp;*()。所以我今天大致上那樣子，那我今天上的主要是iPod操作上面。所以原則上有時間我就講。</t>
    <phoneticPr fontId="2" type="noConversion"/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</si>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</sst>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1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sz val="12"/>
      <color rgb="FF0000FF"/>
      <name val="Times New Roman"/>
      <family val="1"/>
    </font>
    <font>
      <sz val="12"/>
      <color rgb="FFFF00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38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right"/>
    </xf>
    <xf numFmtId="0" fontId="0" fillId="2" borderId="0" xfId="0" applyFill="1"/>
    <xf numFmtId="0" fontId="1" fillId="0" borderId="0" xfId="0" applyFont="1" applyFill="1" applyAlignment="1">
      <alignment horizontal="right"/>
    </xf>
    <xf numFmtId="0" fontId="0" fillId="0" borderId="0" xfId="0" applyFill="1"/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5" fillId="0" borderId="1" xfId="0" applyFont="1" applyBorder="1" applyAlignment="1">
      <alignment wrapText="1"/>
    </xf>
    <xf numFmtId="0" fontId="5" fillId="0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8" fillId="0" borderId="0" xfId="0" applyFont="1" applyAlignment="1">
      <alignment horizontal="left"/>
    </xf>
    <xf numFmtId="0" fontId="9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0" borderId="0" xfId="0" applyFont="1" applyAlignment="1"/>
    <xf numFmtId="0" fontId="1" fillId="0" borderId="0" xfId="0" applyFont="1" applyFill="1" applyAlignment="1"/>
    <xf numFmtId="0" fontId="1" fillId="2" borderId="0" xfId="0" applyFont="1" applyFill="1" applyAlignment="1"/>
    <xf numFmtId="0" fontId="5" fillId="0" borderId="0" xfId="0" applyFont="1" applyAlignment="1">
      <alignment horizontal="left"/>
    </xf>
    <xf numFmtId="0" fontId="1" fillId="0" borderId="0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9" fillId="0" borderId="1" xfId="0" applyFont="1" applyBorder="1" applyAlignment="1"/>
    <xf numFmtId="0" fontId="7" fillId="0" borderId="1" xfId="0" applyFont="1" applyBorder="1" applyAlignment="1">
      <alignment horizontal="left"/>
    </xf>
    <xf numFmtId="0" fontId="7" fillId="0" borderId="0" xfId="0" applyFont="1" applyAlignment="1"/>
    <xf numFmtId="0" fontId="10" fillId="0" borderId="0" xfId="0" applyFont="1"/>
    <xf numFmtId="0" fontId="1" fillId="0" borderId="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left"/>
    </xf>
    <xf numFmtId="0" fontId="9" fillId="0" borderId="0" xfId="0" applyFont="1" applyBorder="1" applyAlignment="1">
      <alignment horizontal="left" wrapText="1"/>
    </xf>
    <xf numFmtId="0" fontId="9" fillId="0" borderId="0" xfId="0" applyFont="1" applyBorder="1" applyAlignment="1"/>
    <xf numFmtId="0" fontId="1" fillId="3" borderId="0" xfId="0" applyFont="1" applyFill="1" applyAlignment="1">
      <alignment horizontal="center"/>
    </xf>
    <xf numFmtId="0" fontId="9" fillId="3" borderId="0" xfId="0" applyFont="1" applyFill="1" applyBorder="1" applyAlignment="1">
      <alignment horizontal="left" wrapText="1"/>
    </xf>
    <xf numFmtId="0" fontId="9" fillId="3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wrapText="1"/>
    </xf>
    <xf numFmtId="0" fontId="0" fillId="2" borderId="1" xfId="0" applyFont="1" applyFill="1" applyBorder="1" applyAlignment="1">
      <alignment wrapText="1"/>
    </xf>
    <xf numFmtId="0" fontId="0" fillId="0" borderId="0" xfId="0" applyAlignment="1">
      <alignment horizontal="right"/>
    </xf>
    <xf numFmtId="0" fontId="1" fillId="4" borderId="0" xfId="0" applyFont="1" applyFill="1" applyAlignment="1">
      <alignment horizontal="right"/>
    </xf>
    <xf numFmtId="0" fontId="5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4" borderId="0" xfId="0" applyFont="1" applyFill="1" applyBorder="1" applyAlignment="1">
      <alignment horizontal="left"/>
    </xf>
    <xf numFmtId="0" fontId="1" fillId="4" borderId="0" xfId="0" applyFont="1" applyFill="1" applyAlignment="1"/>
    <xf numFmtId="0" fontId="0" fillId="4" borderId="0" xfId="0" applyFill="1"/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right" vertical="center"/>
    </xf>
    <xf numFmtId="0" fontId="1" fillId="0" borderId="2" xfId="0" applyFont="1" applyBorder="1" applyAlignment="1">
      <alignment horizontal="left"/>
    </xf>
  </cellXfs>
  <cellStyles count="1381">
    <cellStyle name="一般" xfId="0" builtinId="0"/>
    <cellStyle name="已瀏覽過的超連結" xfId="2" builtinId="9" hidden="1"/>
    <cellStyle name="已瀏覽過的超連結" xfId="4" builtinId="9" hidden="1"/>
    <cellStyle name="已瀏覽過的超連結" xfId="6" builtinId="9" hidden="1"/>
    <cellStyle name="已瀏覽過的超連結" xfId="8" builtinId="9" hidden="1"/>
    <cellStyle name="已瀏覽過的超連結" xfId="10" builtinId="9" hidden="1"/>
    <cellStyle name="已瀏覽過的超連結" xfId="12" builtinId="9" hidden="1"/>
    <cellStyle name="已瀏覽過的超連結" xfId="14" builtinId="9" hidden="1"/>
    <cellStyle name="已瀏覽過的超連結" xfId="16" builtinId="9" hidden="1"/>
    <cellStyle name="已瀏覽過的超連結" xfId="18" builtinId="9" hidden="1"/>
    <cellStyle name="已瀏覽過的超連結" xfId="20" builtinId="9" hidden="1"/>
    <cellStyle name="已瀏覽過的超連結" xfId="22" builtinId="9" hidden="1"/>
    <cellStyle name="已瀏覽過的超連結" xfId="24" builtinId="9" hidden="1"/>
    <cellStyle name="已瀏覽過的超連結" xfId="26" builtinId="9" hidden="1"/>
    <cellStyle name="已瀏覽過的超連結" xfId="28" builtinId="9" hidden="1"/>
    <cellStyle name="已瀏覽過的超連結" xfId="30" builtinId="9" hidden="1"/>
    <cellStyle name="已瀏覽過的超連結" xfId="32" builtinId="9" hidden="1"/>
    <cellStyle name="已瀏覽過的超連結" xfId="34" builtinId="9" hidden="1"/>
    <cellStyle name="已瀏覽過的超連結" xfId="36" builtinId="9" hidden="1"/>
    <cellStyle name="已瀏覽過的超連結" xfId="38" builtinId="9" hidden="1"/>
    <cellStyle name="已瀏覽過的超連結" xfId="40" builtinId="9" hidden="1"/>
    <cellStyle name="已瀏覽過的超連結" xfId="42" builtinId="9" hidden="1"/>
    <cellStyle name="已瀏覽過的超連結" xfId="44" builtinId="9" hidden="1"/>
    <cellStyle name="已瀏覽過的超連結" xfId="46" builtinId="9" hidden="1"/>
    <cellStyle name="已瀏覽過的超連結" xfId="48" builtinId="9" hidden="1"/>
    <cellStyle name="已瀏覽過的超連結" xfId="50" builtinId="9" hidden="1"/>
    <cellStyle name="已瀏覽過的超連結" xfId="52" builtinId="9" hidden="1"/>
    <cellStyle name="已瀏覽過的超連結" xfId="54" builtinId="9" hidden="1"/>
    <cellStyle name="已瀏覽過的超連結" xfId="56" builtinId="9" hidden="1"/>
    <cellStyle name="已瀏覽過的超連結" xfId="58" builtinId="9" hidden="1"/>
    <cellStyle name="已瀏覽過的超連結" xfId="60" builtinId="9" hidden="1"/>
    <cellStyle name="已瀏覽過的超連結" xfId="62" builtinId="9" hidden="1"/>
    <cellStyle name="已瀏覽過的超連結" xfId="64" builtinId="9" hidden="1"/>
    <cellStyle name="已瀏覽過的超連結" xfId="66" builtinId="9" hidden="1"/>
    <cellStyle name="已瀏覽過的超連結" xfId="68" builtinId="9" hidden="1"/>
    <cellStyle name="已瀏覽過的超連結" xfId="70" builtinId="9" hidden="1"/>
    <cellStyle name="已瀏覽過的超連結" xfId="72" builtinId="9" hidden="1"/>
    <cellStyle name="已瀏覽過的超連結" xfId="74" builtinId="9" hidden="1"/>
    <cellStyle name="已瀏覽過的超連結" xfId="76" builtinId="9" hidden="1"/>
    <cellStyle name="已瀏覽過的超連結" xfId="78" builtinId="9" hidden="1"/>
    <cellStyle name="已瀏覽過的超連結" xfId="80" builtinId="9" hidden="1"/>
    <cellStyle name="已瀏覽過的超連結" xfId="82" builtinId="9" hidden="1"/>
    <cellStyle name="已瀏覽過的超連結" xfId="84" builtinId="9" hidden="1"/>
    <cellStyle name="已瀏覽過的超連結" xfId="86" builtinId="9" hidden="1"/>
    <cellStyle name="已瀏覽過的超連結" xfId="88" builtinId="9" hidden="1"/>
    <cellStyle name="已瀏覽過的超連結" xfId="90" builtinId="9" hidden="1"/>
    <cellStyle name="已瀏覽過的超連結" xfId="92" builtinId="9" hidden="1"/>
    <cellStyle name="已瀏覽過的超連結" xfId="94" builtinId="9" hidden="1"/>
    <cellStyle name="已瀏覽過的超連結" xfId="96" builtinId="9" hidden="1"/>
    <cellStyle name="已瀏覽過的超連結" xfId="98" builtinId="9" hidden="1"/>
    <cellStyle name="已瀏覽過的超連結" xfId="100" builtinId="9" hidden="1"/>
    <cellStyle name="已瀏覽過的超連結" xfId="102" builtinId="9" hidden="1"/>
    <cellStyle name="已瀏覽過的超連結" xfId="104" builtinId="9" hidden="1"/>
    <cellStyle name="已瀏覽過的超連結" xfId="106" builtinId="9" hidden="1"/>
    <cellStyle name="已瀏覽過的超連結" xfId="108" builtinId="9" hidden="1"/>
    <cellStyle name="已瀏覽過的超連結" xfId="110" builtinId="9" hidden="1"/>
    <cellStyle name="已瀏覽過的超連結" xfId="112" builtinId="9" hidden="1"/>
    <cellStyle name="已瀏覽過的超連結" xfId="114" builtinId="9" hidden="1"/>
    <cellStyle name="已瀏覽過的超連結" xfId="116" builtinId="9" hidden="1"/>
    <cellStyle name="已瀏覽過的超連結" xfId="118" builtinId="9" hidden="1"/>
    <cellStyle name="已瀏覽過的超連結" xfId="120" builtinId="9" hidden="1"/>
    <cellStyle name="已瀏覽過的超連結" xfId="122" builtinId="9" hidden="1"/>
    <cellStyle name="已瀏覽過的超連結" xfId="124" builtinId="9" hidden="1"/>
    <cellStyle name="已瀏覽過的超連結" xfId="126" builtinId="9" hidden="1"/>
    <cellStyle name="已瀏覽過的超連結" xfId="128" builtinId="9" hidden="1"/>
    <cellStyle name="已瀏覽過的超連結" xfId="130" builtinId="9" hidden="1"/>
    <cellStyle name="已瀏覽過的超連結" xfId="132" builtinId="9" hidden="1"/>
    <cellStyle name="已瀏覽過的超連結" xfId="134" builtinId="9" hidden="1"/>
    <cellStyle name="已瀏覽過的超連結" xfId="136" builtinId="9" hidden="1"/>
    <cellStyle name="已瀏覽過的超連結" xfId="138" builtinId="9" hidden="1"/>
    <cellStyle name="已瀏覽過的超連結" xfId="140" builtinId="9" hidden="1"/>
    <cellStyle name="已瀏覽過的超連結" xfId="142" builtinId="9" hidden="1"/>
    <cellStyle name="已瀏覽過的超連結" xfId="144" builtinId="9" hidden="1"/>
    <cellStyle name="已瀏覽過的超連結" xfId="146" builtinId="9" hidden="1"/>
    <cellStyle name="已瀏覽過的超連結" xfId="148" builtinId="9" hidden="1"/>
    <cellStyle name="已瀏覽過的超連結" xfId="150" builtinId="9" hidden="1"/>
    <cellStyle name="已瀏覽過的超連結" xfId="152" builtinId="9" hidden="1"/>
    <cellStyle name="已瀏覽過的超連結" xfId="154" builtinId="9" hidden="1"/>
    <cellStyle name="已瀏覽過的超連結" xfId="156" builtinId="9" hidden="1"/>
    <cellStyle name="已瀏覽過的超連結" xfId="158" builtinId="9" hidden="1"/>
    <cellStyle name="已瀏覽過的超連結" xfId="160" builtinId="9" hidden="1"/>
    <cellStyle name="已瀏覽過的超連結" xfId="162" builtinId="9" hidden="1"/>
    <cellStyle name="已瀏覽過的超連結" xfId="164" builtinId="9" hidden="1"/>
    <cellStyle name="已瀏覽過的超連結" xfId="166" builtinId="9" hidden="1"/>
    <cellStyle name="已瀏覽過的超連結" xfId="168" builtinId="9" hidden="1"/>
    <cellStyle name="已瀏覽過的超連結" xfId="170" builtinId="9" hidden="1"/>
    <cellStyle name="已瀏覽過的超連結" xfId="172" builtinId="9" hidden="1"/>
    <cellStyle name="已瀏覽過的超連結" xfId="174" builtinId="9" hidden="1"/>
    <cellStyle name="已瀏覽過的超連結" xfId="176" builtinId="9" hidden="1"/>
    <cellStyle name="已瀏覽過的超連結" xfId="178" builtinId="9" hidden="1"/>
    <cellStyle name="已瀏覽過的超連結" xfId="180" builtinId="9" hidden="1"/>
    <cellStyle name="已瀏覽過的超連結" xfId="182" builtinId="9" hidden="1"/>
    <cellStyle name="已瀏覽過的超連結" xfId="184" builtinId="9" hidden="1"/>
    <cellStyle name="已瀏覽過的超連結" xfId="186" builtinId="9" hidden="1"/>
    <cellStyle name="已瀏覽過的超連結" xfId="188" builtinId="9" hidden="1"/>
    <cellStyle name="已瀏覽過的超連結" xfId="190" builtinId="9" hidden="1"/>
    <cellStyle name="已瀏覽過的超連結" xfId="192" builtinId="9" hidden="1"/>
    <cellStyle name="已瀏覽過的超連結" xfId="194" builtinId="9" hidden="1"/>
    <cellStyle name="已瀏覽過的超連結" xfId="196" builtinId="9" hidden="1"/>
    <cellStyle name="已瀏覽過的超連結" xfId="198" builtinId="9" hidden="1"/>
    <cellStyle name="已瀏覽過的超連結" xfId="200" builtinId="9" hidden="1"/>
    <cellStyle name="已瀏覽過的超連結" xfId="202" builtinId="9" hidden="1"/>
    <cellStyle name="已瀏覽過的超連結" xfId="204" builtinId="9" hidden="1"/>
    <cellStyle name="已瀏覽過的超連結" xfId="206" builtinId="9" hidden="1"/>
    <cellStyle name="已瀏覽過的超連結" xfId="208" builtinId="9" hidden="1"/>
    <cellStyle name="已瀏覽過的超連結" xfId="210" builtinId="9" hidden="1"/>
    <cellStyle name="已瀏覽過的超連結" xfId="212" builtinId="9" hidden="1"/>
    <cellStyle name="已瀏覽過的超連結" xfId="214" builtinId="9" hidden="1"/>
    <cellStyle name="已瀏覽過的超連結" xfId="216" builtinId="9" hidden="1"/>
    <cellStyle name="已瀏覽過的超連結" xfId="218" builtinId="9" hidden="1"/>
    <cellStyle name="已瀏覽過的超連結" xfId="220" builtinId="9" hidden="1"/>
    <cellStyle name="已瀏覽過的超連結" xfId="222" builtinId="9" hidden="1"/>
    <cellStyle name="已瀏覽過的超連結" xfId="224" builtinId="9" hidden="1"/>
    <cellStyle name="已瀏覽過的超連結" xfId="226" builtinId="9" hidden="1"/>
    <cellStyle name="已瀏覽過的超連結" xfId="228" builtinId="9" hidden="1"/>
    <cellStyle name="已瀏覽過的超連結" xfId="230" builtinId="9" hidden="1"/>
    <cellStyle name="已瀏覽過的超連結" xfId="232" builtinId="9" hidden="1"/>
    <cellStyle name="已瀏覽過的超連結" xfId="234" builtinId="9" hidden="1"/>
    <cellStyle name="已瀏覽過的超連結" xfId="236" builtinId="9" hidden="1"/>
    <cellStyle name="已瀏覽過的超連結" xfId="238" builtinId="9" hidden="1"/>
    <cellStyle name="已瀏覽過的超連結" xfId="240" builtinId="9" hidden="1"/>
    <cellStyle name="已瀏覽過的超連結" xfId="242" builtinId="9" hidden="1"/>
    <cellStyle name="已瀏覽過的超連結" xfId="244" builtinId="9" hidden="1"/>
    <cellStyle name="已瀏覽過的超連結" xfId="246" builtinId="9" hidden="1"/>
    <cellStyle name="已瀏覽過的超連結" xfId="248" builtinId="9" hidden="1"/>
    <cellStyle name="已瀏覽過的超連結" xfId="250" builtinId="9" hidden="1"/>
    <cellStyle name="已瀏覽過的超連結" xfId="252" builtinId="9" hidden="1"/>
    <cellStyle name="已瀏覽過的超連結" xfId="254" builtinId="9" hidden="1"/>
    <cellStyle name="已瀏覽過的超連結" xfId="256" builtinId="9" hidden="1"/>
    <cellStyle name="已瀏覽過的超連結" xfId="258" builtinId="9" hidden="1"/>
    <cellStyle name="已瀏覽過的超連結" xfId="260" builtinId="9" hidden="1"/>
    <cellStyle name="已瀏覽過的超連結" xfId="262" builtinId="9" hidden="1"/>
    <cellStyle name="已瀏覽過的超連結" xfId="264" builtinId="9" hidden="1"/>
    <cellStyle name="已瀏覽過的超連結" xfId="266" builtinId="9" hidden="1"/>
    <cellStyle name="已瀏覽過的超連結" xfId="268" builtinId="9" hidden="1"/>
    <cellStyle name="已瀏覽過的超連結" xfId="270" builtinId="9" hidden="1"/>
    <cellStyle name="已瀏覽過的超連結" xfId="272" builtinId="9" hidden="1"/>
    <cellStyle name="已瀏覽過的超連結" xfId="274" builtinId="9" hidden="1"/>
    <cellStyle name="已瀏覽過的超連結" xfId="276" builtinId="9" hidden="1"/>
    <cellStyle name="已瀏覽過的超連結" xfId="278" builtinId="9" hidden="1"/>
    <cellStyle name="已瀏覽過的超連結" xfId="280" builtinId="9" hidden="1"/>
    <cellStyle name="已瀏覽過的超連結" xfId="282" builtinId="9" hidden="1"/>
    <cellStyle name="已瀏覽過的超連結" xfId="284" builtinId="9" hidden="1"/>
    <cellStyle name="已瀏覽過的超連結" xfId="286" builtinId="9" hidden="1"/>
    <cellStyle name="已瀏覽過的超連結" xfId="288" builtinId="9" hidden="1"/>
    <cellStyle name="已瀏覽過的超連結" xfId="290" builtinId="9" hidden="1"/>
    <cellStyle name="已瀏覽過的超連結" xfId="292" builtinId="9" hidden="1"/>
    <cellStyle name="已瀏覽過的超連結" xfId="294" builtinId="9" hidden="1"/>
    <cellStyle name="已瀏覽過的超連結" xfId="296" builtinId="9" hidden="1"/>
    <cellStyle name="已瀏覽過的超連結" xfId="298" builtinId="9" hidden="1"/>
    <cellStyle name="已瀏覽過的超連結" xfId="300" builtinId="9" hidden="1"/>
    <cellStyle name="已瀏覽過的超連結" xfId="302" builtinId="9" hidden="1"/>
    <cellStyle name="已瀏覽過的超連結" xfId="304" builtinId="9" hidden="1"/>
    <cellStyle name="已瀏覽過的超連結" xfId="306" builtinId="9" hidden="1"/>
    <cellStyle name="已瀏覽過的超連結" xfId="308" builtinId="9" hidden="1"/>
    <cellStyle name="已瀏覽過的超連結" xfId="310" builtinId="9" hidden="1"/>
    <cellStyle name="已瀏覽過的超連結" xfId="312" builtinId="9" hidden="1"/>
    <cellStyle name="已瀏覽過的超連結" xfId="314" builtinId="9" hidden="1"/>
    <cellStyle name="已瀏覽過的超連結" xfId="316" builtinId="9" hidden="1"/>
    <cellStyle name="已瀏覽過的超連結" xfId="318" builtinId="9" hidden="1"/>
    <cellStyle name="已瀏覽過的超連結" xfId="320" builtinId="9" hidden="1"/>
    <cellStyle name="已瀏覽過的超連結" xfId="322" builtinId="9" hidden="1"/>
    <cellStyle name="已瀏覽過的超連結" xfId="324" builtinId="9" hidden="1"/>
    <cellStyle name="已瀏覽過的超連結" xfId="326" builtinId="9" hidden="1"/>
    <cellStyle name="已瀏覽過的超連結" xfId="328" builtinId="9" hidden="1"/>
    <cellStyle name="已瀏覽過的超連結" xfId="330" builtinId="9" hidden="1"/>
    <cellStyle name="已瀏覽過的超連結" xfId="332" builtinId="9" hidden="1"/>
    <cellStyle name="已瀏覽過的超連結" xfId="334" builtinId="9" hidden="1"/>
    <cellStyle name="已瀏覽過的超連結" xfId="336" builtinId="9" hidden="1"/>
    <cellStyle name="已瀏覽過的超連結" xfId="338" builtinId="9" hidden="1"/>
    <cellStyle name="已瀏覽過的超連結" xfId="340" builtinId="9" hidden="1"/>
    <cellStyle name="已瀏覽過的超連結" xfId="342" builtinId="9" hidden="1"/>
    <cellStyle name="已瀏覽過的超連結" xfId="344" builtinId="9" hidden="1"/>
    <cellStyle name="已瀏覽過的超連結" xfId="346" builtinId="9" hidden="1"/>
    <cellStyle name="已瀏覽過的超連結" xfId="348" builtinId="9" hidden="1"/>
    <cellStyle name="已瀏覽過的超連結" xfId="350" builtinId="9" hidden="1"/>
    <cellStyle name="已瀏覽過的超連結" xfId="352" builtinId="9" hidden="1"/>
    <cellStyle name="已瀏覽過的超連結" xfId="354" builtinId="9" hidden="1"/>
    <cellStyle name="已瀏覽過的超連結" xfId="356" builtinId="9" hidden="1"/>
    <cellStyle name="已瀏覽過的超連結" xfId="358" builtinId="9" hidden="1"/>
    <cellStyle name="已瀏覽過的超連結" xfId="360" builtinId="9" hidden="1"/>
    <cellStyle name="已瀏覽過的超連結" xfId="362" builtinId="9" hidden="1"/>
    <cellStyle name="已瀏覽過的超連結" xfId="364" builtinId="9" hidden="1"/>
    <cellStyle name="已瀏覽過的超連結" xfId="366" builtinId="9" hidden="1"/>
    <cellStyle name="已瀏覽過的超連結" xfId="368" builtinId="9" hidden="1"/>
    <cellStyle name="已瀏覽過的超連結" xfId="370" builtinId="9" hidden="1"/>
    <cellStyle name="已瀏覽過的超連結" xfId="372" builtinId="9" hidden="1"/>
    <cellStyle name="已瀏覽過的超連結" xfId="374" builtinId="9" hidden="1"/>
    <cellStyle name="已瀏覽過的超連結" xfId="376" builtinId="9" hidden="1"/>
    <cellStyle name="已瀏覽過的超連結" xfId="378" builtinId="9" hidden="1"/>
    <cellStyle name="已瀏覽過的超連結" xfId="380" builtinId="9" hidden="1"/>
    <cellStyle name="已瀏覽過的超連結" xfId="382" builtinId="9" hidden="1"/>
    <cellStyle name="已瀏覽過的超連結" xfId="384" builtinId="9" hidden="1"/>
    <cellStyle name="已瀏覽過的超連結" xfId="386" builtinId="9" hidden="1"/>
    <cellStyle name="已瀏覽過的超連結" xfId="388" builtinId="9" hidden="1"/>
    <cellStyle name="已瀏覽過的超連結" xfId="390" builtinId="9" hidden="1"/>
    <cellStyle name="已瀏覽過的超連結" xfId="392" builtinId="9" hidden="1"/>
    <cellStyle name="已瀏覽過的超連結" xfId="394" builtinId="9" hidden="1"/>
    <cellStyle name="已瀏覽過的超連結" xfId="396" builtinId="9" hidden="1"/>
    <cellStyle name="已瀏覽過的超連結" xfId="398" builtinId="9" hidden="1"/>
    <cellStyle name="已瀏覽過的超連結" xfId="400" builtinId="9" hidden="1"/>
    <cellStyle name="已瀏覽過的超連結" xfId="402" builtinId="9" hidden="1"/>
    <cellStyle name="已瀏覽過的超連結" xfId="404" builtinId="9" hidden="1"/>
    <cellStyle name="已瀏覽過的超連結" xfId="406" builtinId="9" hidden="1"/>
    <cellStyle name="已瀏覽過的超連結" xfId="408" builtinId="9" hidden="1"/>
    <cellStyle name="已瀏覽過的超連結" xfId="410" builtinId="9" hidden="1"/>
    <cellStyle name="已瀏覽過的超連結" xfId="412" builtinId="9" hidden="1"/>
    <cellStyle name="已瀏覽過的超連結" xfId="414" builtinId="9" hidden="1"/>
    <cellStyle name="已瀏覽過的超連結" xfId="416" builtinId="9" hidden="1"/>
    <cellStyle name="已瀏覽過的超連結" xfId="418" builtinId="9" hidden="1"/>
    <cellStyle name="已瀏覽過的超連結" xfId="420" builtinId="9" hidden="1"/>
    <cellStyle name="已瀏覽過的超連結" xfId="422" builtinId="9" hidden="1"/>
    <cellStyle name="已瀏覽過的超連結" xfId="424" builtinId="9" hidden="1"/>
    <cellStyle name="已瀏覽過的超連結" xfId="426" builtinId="9" hidden="1"/>
    <cellStyle name="已瀏覽過的超連結" xfId="428" builtinId="9" hidden="1"/>
    <cellStyle name="已瀏覽過的超連結" xfId="430" builtinId="9" hidden="1"/>
    <cellStyle name="已瀏覽過的超連結" xfId="432" builtinId="9" hidden="1"/>
    <cellStyle name="已瀏覽過的超連結" xfId="434" builtinId="9" hidden="1"/>
    <cellStyle name="已瀏覽過的超連結" xfId="436" builtinId="9" hidden="1"/>
    <cellStyle name="已瀏覽過的超連結" xfId="438" builtinId="9" hidden="1"/>
    <cellStyle name="已瀏覽過的超連結" xfId="440" builtinId="9" hidden="1"/>
    <cellStyle name="已瀏覽過的超連結" xfId="442" builtinId="9" hidden="1"/>
    <cellStyle name="已瀏覽過的超連結" xfId="444" builtinId="9" hidden="1"/>
    <cellStyle name="已瀏覽過的超連結" xfId="446" builtinId="9" hidden="1"/>
    <cellStyle name="已瀏覽過的超連結" xfId="448" builtinId="9" hidden="1"/>
    <cellStyle name="已瀏覽過的超連結" xfId="450" builtinId="9" hidden="1"/>
    <cellStyle name="已瀏覽過的超連結" xfId="452" builtinId="9" hidden="1"/>
    <cellStyle name="已瀏覽過的超連結" xfId="454" builtinId="9" hidden="1"/>
    <cellStyle name="已瀏覽過的超連結" xfId="456" builtinId="9" hidden="1"/>
    <cellStyle name="已瀏覽過的超連結" xfId="458" builtinId="9" hidden="1"/>
    <cellStyle name="已瀏覽過的超連結" xfId="460" builtinId="9" hidden="1"/>
    <cellStyle name="已瀏覽過的超連結" xfId="462" builtinId="9" hidden="1"/>
    <cellStyle name="已瀏覽過的超連結" xfId="464" builtinId="9" hidden="1"/>
    <cellStyle name="已瀏覽過的超連結" xfId="466" builtinId="9" hidden="1"/>
    <cellStyle name="已瀏覽過的超連結" xfId="468" builtinId="9" hidden="1"/>
    <cellStyle name="已瀏覽過的超連結" xfId="470" builtinId="9" hidden="1"/>
    <cellStyle name="已瀏覽過的超連結" xfId="472" builtinId="9" hidden="1"/>
    <cellStyle name="已瀏覽過的超連結" xfId="474" builtinId="9" hidden="1"/>
    <cellStyle name="已瀏覽過的超連結" xfId="476" builtinId="9" hidden="1"/>
    <cellStyle name="已瀏覽過的超連結" xfId="478" builtinId="9" hidden="1"/>
    <cellStyle name="已瀏覽過的超連結" xfId="480" builtinId="9" hidden="1"/>
    <cellStyle name="已瀏覽過的超連結" xfId="482" builtinId="9" hidden="1"/>
    <cellStyle name="已瀏覽過的超連結" xfId="484" builtinId="9" hidden="1"/>
    <cellStyle name="已瀏覽過的超連結" xfId="486" builtinId="9" hidden="1"/>
    <cellStyle name="已瀏覽過的超連結" xfId="488" builtinId="9" hidden="1"/>
    <cellStyle name="已瀏覽過的超連結" xfId="490" builtinId="9" hidden="1"/>
    <cellStyle name="已瀏覽過的超連結" xfId="492" builtinId="9" hidden="1"/>
    <cellStyle name="已瀏覽過的超連結" xfId="494" builtinId="9" hidden="1"/>
    <cellStyle name="已瀏覽過的超連結" xfId="496" builtinId="9" hidden="1"/>
    <cellStyle name="已瀏覽過的超連結" xfId="498" builtinId="9" hidden="1"/>
    <cellStyle name="已瀏覽過的超連結" xfId="500" builtinId="9" hidden="1"/>
    <cellStyle name="已瀏覽過的超連結" xfId="502" builtinId="9" hidden="1"/>
    <cellStyle name="已瀏覽過的超連結" xfId="504" builtinId="9" hidden="1"/>
    <cellStyle name="已瀏覽過的超連結" xfId="506" builtinId="9" hidden="1"/>
    <cellStyle name="已瀏覽過的超連結" xfId="508" builtinId="9" hidden="1"/>
    <cellStyle name="已瀏覽過的超連結" xfId="510" builtinId="9" hidden="1"/>
    <cellStyle name="已瀏覽過的超連結" xfId="512" builtinId="9" hidden="1"/>
    <cellStyle name="已瀏覽過的超連結" xfId="514" builtinId="9" hidden="1"/>
    <cellStyle name="已瀏覽過的超連結" xfId="516" builtinId="9" hidden="1"/>
    <cellStyle name="已瀏覽過的超連結" xfId="518" builtinId="9" hidden="1"/>
    <cellStyle name="已瀏覽過的超連結" xfId="520" builtinId="9" hidden="1"/>
    <cellStyle name="已瀏覽過的超連結" xfId="522" builtinId="9" hidden="1"/>
    <cellStyle name="已瀏覽過的超連結" xfId="524" builtinId="9" hidden="1"/>
    <cellStyle name="已瀏覽過的超連結" xfId="526" builtinId="9" hidden="1"/>
    <cellStyle name="已瀏覽過的超連結" xfId="528" builtinId="9" hidden="1"/>
    <cellStyle name="已瀏覽過的超連結" xfId="530" builtinId="9" hidden="1"/>
    <cellStyle name="已瀏覽過的超連結" xfId="532" builtinId="9" hidden="1"/>
    <cellStyle name="已瀏覽過的超連結" xfId="534" builtinId="9" hidden="1"/>
    <cellStyle name="已瀏覽過的超連結" xfId="536" builtinId="9" hidden="1"/>
    <cellStyle name="已瀏覽過的超連結" xfId="538" builtinId="9" hidden="1"/>
    <cellStyle name="已瀏覽過的超連結" xfId="540" builtinId="9" hidden="1"/>
    <cellStyle name="已瀏覽過的超連結" xfId="542" builtinId="9" hidden="1"/>
    <cellStyle name="已瀏覽過的超連結" xfId="544" builtinId="9" hidden="1"/>
    <cellStyle name="已瀏覽過的超連結" xfId="546" builtinId="9" hidden="1"/>
    <cellStyle name="已瀏覽過的超連結" xfId="548" builtinId="9" hidden="1"/>
    <cellStyle name="已瀏覽過的超連結" xfId="550" builtinId="9" hidden="1"/>
    <cellStyle name="已瀏覽過的超連結" xfId="552" builtinId="9" hidden="1"/>
    <cellStyle name="已瀏覽過的超連結" xfId="554" builtinId="9" hidden="1"/>
    <cellStyle name="已瀏覽過的超連結" xfId="556" builtinId="9" hidden="1"/>
    <cellStyle name="已瀏覽過的超連結" xfId="558" builtinId="9" hidden="1"/>
    <cellStyle name="已瀏覽過的超連結" xfId="560" builtinId="9" hidden="1"/>
    <cellStyle name="已瀏覽過的超連結" xfId="562" builtinId="9" hidden="1"/>
    <cellStyle name="已瀏覽過的超連結" xfId="564" builtinId="9" hidden="1"/>
    <cellStyle name="已瀏覽過的超連結" xfId="566" builtinId="9" hidden="1"/>
    <cellStyle name="已瀏覽過的超連結" xfId="568" builtinId="9" hidden="1"/>
    <cellStyle name="已瀏覽過的超連結" xfId="570" builtinId="9" hidden="1"/>
    <cellStyle name="已瀏覽過的超連結" xfId="572" builtinId="9" hidden="1"/>
    <cellStyle name="已瀏覽過的超連結" xfId="574" builtinId="9" hidden="1"/>
    <cellStyle name="已瀏覽過的超連結" xfId="576" builtinId="9" hidden="1"/>
    <cellStyle name="已瀏覽過的超連結" xfId="578" builtinId="9" hidden="1"/>
    <cellStyle name="已瀏覽過的超連結" xfId="580" builtinId="9" hidden="1"/>
    <cellStyle name="已瀏覽過的超連結" xfId="582" builtinId="9" hidden="1"/>
    <cellStyle name="已瀏覽過的超連結" xfId="584" builtinId="9" hidden="1"/>
    <cellStyle name="已瀏覽過的超連結" xfId="586" builtinId="9" hidden="1"/>
    <cellStyle name="已瀏覽過的超連結" xfId="588" builtinId="9" hidden="1"/>
    <cellStyle name="已瀏覽過的超連結" xfId="590" builtinId="9" hidden="1"/>
    <cellStyle name="已瀏覽過的超連結" xfId="592" builtinId="9" hidden="1"/>
    <cellStyle name="已瀏覽過的超連結" xfId="594" builtinId="9" hidden="1"/>
    <cellStyle name="已瀏覽過的超連結" xfId="596" builtinId="9" hidden="1"/>
    <cellStyle name="已瀏覽過的超連結" xfId="598" builtinId="9" hidden="1"/>
    <cellStyle name="已瀏覽過的超連結" xfId="600" builtinId="9" hidden="1"/>
    <cellStyle name="已瀏覽過的超連結" xfId="602" builtinId="9" hidden="1"/>
    <cellStyle name="已瀏覽過的超連結" xfId="604" builtinId="9" hidden="1"/>
    <cellStyle name="已瀏覽過的超連結" xfId="606" builtinId="9" hidden="1"/>
    <cellStyle name="已瀏覽過的超連結" xfId="608" builtinId="9" hidden="1"/>
    <cellStyle name="已瀏覽過的超連結" xfId="610" builtinId="9" hidden="1"/>
    <cellStyle name="已瀏覽過的超連結" xfId="612" builtinId="9" hidden="1"/>
    <cellStyle name="已瀏覽過的超連結" xfId="614" builtinId="9" hidden="1"/>
    <cellStyle name="已瀏覽過的超連結" xfId="616" builtinId="9" hidden="1"/>
    <cellStyle name="已瀏覽過的超連結" xfId="618" builtinId="9" hidden="1"/>
    <cellStyle name="已瀏覽過的超連結" xfId="620" builtinId="9" hidden="1"/>
    <cellStyle name="已瀏覽過的超連結" xfId="622" builtinId="9" hidden="1"/>
    <cellStyle name="已瀏覽過的超連結" xfId="624" builtinId="9" hidden="1"/>
    <cellStyle name="已瀏覽過的超連結" xfId="626" builtinId="9" hidden="1"/>
    <cellStyle name="已瀏覽過的超連結" xfId="628" builtinId="9" hidden="1"/>
    <cellStyle name="已瀏覽過的超連結" xfId="630" builtinId="9" hidden="1"/>
    <cellStyle name="已瀏覽過的超連結" xfId="632" builtinId="9" hidden="1"/>
    <cellStyle name="已瀏覽過的超連結" xfId="634" builtinId="9" hidden="1"/>
    <cellStyle name="已瀏覽過的超連結" xfId="636" builtinId="9" hidden="1"/>
    <cellStyle name="已瀏覽過的超連結" xfId="638" builtinId="9" hidden="1"/>
    <cellStyle name="已瀏覽過的超連結" xfId="640" builtinId="9" hidden="1"/>
    <cellStyle name="已瀏覽過的超連結" xfId="642" builtinId="9" hidden="1"/>
    <cellStyle name="已瀏覽過的超連結" xfId="644" builtinId="9" hidden="1"/>
    <cellStyle name="已瀏覽過的超連結" xfId="646" builtinId="9" hidden="1"/>
    <cellStyle name="已瀏覽過的超連結" xfId="648" builtinId="9" hidden="1"/>
    <cellStyle name="已瀏覽過的超連結" xfId="650" builtinId="9" hidden="1"/>
    <cellStyle name="已瀏覽過的超連結" xfId="652" builtinId="9" hidden="1"/>
    <cellStyle name="已瀏覽過的超連結" xfId="654" builtinId="9" hidden="1"/>
    <cellStyle name="已瀏覽過的超連結" xfId="656" builtinId="9" hidden="1"/>
    <cellStyle name="已瀏覽過的超連結" xfId="658" builtinId="9" hidden="1"/>
    <cellStyle name="已瀏覽過的超連結" xfId="660" builtinId="9" hidden="1"/>
    <cellStyle name="已瀏覽過的超連結" xfId="662" builtinId="9" hidden="1"/>
    <cellStyle name="已瀏覽過的超連結" xfId="664" builtinId="9" hidden="1"/>
    <cellStyle name="已瀏覽過的超連結" xfId="666" builtinId="9" hidden="1"/>
    <cellStyle name="已瀏覽過的超連結" xfId="668" builtinId="9" hidden="1"/>
    <cellStyle name="已瀏覽過的超連結" xfId="670" builtinId="9" hidden="1"/>
    <cellStyle name="已瀏覽過的超連結" xfId="672" builtinId="9" hidden="1"/>
    <cellStyle name="已瀏覽過的超連結" xfId="674" builtinId="9" hidden="1"/>
    <cellStyle name="已瀏覽過的超連結" xfId="676" builtinId="9" hidden="1"/>
    <cellStyle name="已瀏覽過的超連結" xfId="678" builtinId="9" hidden="1"/>
    <cellStyle name="已瀏覽過的超連結" xfId="680" builtinId="9" hidden="1"/>
    <cellStyle name="已瀏覽過的超連結" xfId="682" builtinId="9" hidden="1"/>
    <cellStyle name="已瀏覽過的超連結" xfId="684" builtinId="9" hidden="1"/>
    <cellStyle name="已瀏覽過的超連結" xfId="686" builtinId="9" hidden="1"/>
    <cellStyle name="已瀏覽過的超連結" xfId="688" builtinId="9" hidden="1"/>
    <cellStyle name="已瀏覽過的超連結" xfId="690" builtinId="9" hidden="1"/>
    <cellStyle name="已瀏覽過的超連結" xfId="692" builtinId="9" hidden="1"/>
    <cellStyle name="已瀏覽過的超連結" xfId="694" builtinId="9" hidden="1"/>
    <cellStyle name="已瀏覽過的超連結" xfId="696" builtinId="9" hidden="1"/>
    <cellStyle name="已瀏覽過的超連結" xfId="698" builtinId="9" hidden="1"/>
    <cellStyle name="已瀏覽過的超連結" xfId="700" builtinId="9" hidden="1"/>
    <cellStyle name="已瀏覽過的超連結" xfId="702" builtinId="9" hidden="1"/>
    <cellStyle name="已瀏覽過的超連結" xfId="704" builtinId="9" hidden="1"/>
    <cellStyle name="已瀏覽過的超連結" xfId="706" builtinId="9" hidden="1"/>
    <cellStyle name="已瀏覽過的超連結" xfId="708" builtinId="9" hidden="1"/>
    <cellStyle name="已瀏覽過的超連結" xfId="710" builtinId="9" hidden="1"/>
    <cellStyle name="已瀏覽過的超連結" xfId="712" builtinId="9" hidden="1"/>
    <cellStyle name="已瀏覽過的超連結" xfId="714" builtinId="9" hidden="1"/>
    <cellStyle name="已瀏覽過的超連結" xfId="716" builtinId="9" hidden="1"/>
    <cellStyle name="已瀏覽過的超連結" xfId="718" builtinId="9" hidden="1"/>
    <cellStyle name="已瀏覽過的超連結" xfId="720" builtinId="9" hidden="1"/>
    <cellStyle name="已瀏覽過的超連結" xfId="722" builtinId="9" hidden="1"/>
    <cellStyle name="已瀏覽過的超連結" xfId="724" builtinId="9" hidden="1"/>
    <cellStyle name="已瀏覽過的超連結" xfId="726" builtinId="9" hidden="1"/>
    <cellStyle name="已瀏覽過的超連結" xfId="728" builtinId="9" hidden="1"/>
    <cellStyle name="已瀏覽過的超連結" xfId="730" builtinId="9" hidden="1"/>
    <cellStyle name="已瀏覽過的超連結" xfId="732" builtinId="9" hidden="1"/>
    <cellStyle name="已瀏覽過的超連結" xfId="734" builtinId="9" hidden="1"/>
    <cellStyle name="已瀏覽過的超連結" xfId="736" builtinId="9" hidden="1"/>
    <cellStyle name="已瀏覽過的超連結" xfId="738" builtinId="9" hidden="1"/>
    <cellStyle name="已瀏覽過的超連結" xfId="740" builtinId="9" hidden="1"/>
    <cellStyle name="已瀏覽過的超連結" xfId="742" builtinId="9" hidden="1"/>
    <cellStyle name="已瀏覽過的超連結" xfId="744" builtinId="9" hidden="1"/>
    <cellStyle name="已瀏覽過的超連結" xfId="746" builtinId="9" hidden="1"/>
    <cellStyle name="已瀏覽過的超連結" xfId="748" builtinId="9" hidden="1"/>
    <cellStyle name="已瀏覽過的超連結" xfId="750" builtinId="9" hidden="1"/>
    <cellStyle name="已瀏覽過的超連結" xfId="752" builtinId="9" hidden="1"/>
    <cellStyle name="已瀏覽過的超連結" xfId="754" builtinId="9" hidden="1"/>
    <cellStyle name="已瀏覽過的超連結" xfId="756" builtinId="9" hidden="1"/>
    <cellStyle name="已瀏覽過的超連結" xfId="758" builtinId="9" hidden="1"/>
    <cellStyle name="已瀏覽過的超連結" xfId="760" builtinId="9" hidden="1"/>
    <cellStyle name="已瀏覽過的超連結" xfId="762" builtinId="9" hidden="1"/>
    <cellStyle name="已瀏覽過的超連結" xfId="764" builtinId="9" hidden="1"/>
    <cellStyle name="已瀏覽過的超連結" xfId="766" builtinId="9" hidden="1"/>
    <cellStyle name="已瀏覽過的超連結" xfId="768" builtinId="9" hidden="1"/>
    <cellStyle name="已瀏覽過的超連結" xfId="770" builtinId="9" hidden="1"/>
    <cellStyle name="已瀏覽過的超連結" xfId="772" builtinId="9" hidden="1"/>
    <cellStyle name="已瀏覽過的超連結" xfId="774" builtinId="9" hidden="1"/>
    <cellStyle name="已瀏覽過的超連結" xfId="776" builtinId="9" hidden="1"/>
    <cellStyle name="已瀏覽過的超連結" xfId="778" builtinId="9" hidden="1"/>
    <cellStyle name="已瀏覽過的超連結" xfId="780" builtinId="9" hidden="1"/>
    <cellStyle name="已瀏覽過的超連結" xfId="782" builtinId="9" hidden="1"/>
    <cellStyle name="已瀏覽過的超連結" xfId="784" builtinId="9" hidden="1"/>
    <cellStyle name="已瀏覽過的超連結" xfId="786" builtinId="9" hidden="1"/>
    <cellStyle name="已瀏覽過的超連結" xfId="788" builtinId="9" hidden="1"/>
    <cellStyle name="已瀏覽過的超連結" xfId="790" builtinId="9" hidden="1"/>
    <cellStyle name="已瀏覽過的超連結" xfId="792" builtinId="9" hidden="1"/>
    <cellStyle name="已瀏覽過的超連結" xfId="794" builtinId="9" hidden="1"/>
    <cellStyle name="已瀏覽過的超連結" xfId="796" builtinId="9" hidden="1"/>
    <cellStyle name="已瀏覽過的超連結" xfId="798" builtinId="9" hidden="1"/>
    <cellStyle name="已瀏覽過的超連結" xfId="800" builtinId="9" hidden="1"/>
    <cellStyle name="已瀏覽過的超連結" xfId="802" builtinId="9" hidden="1"/>
    <cellStyle name="已瀏覽過的超連結" xfId="804" builtinId="9" hidden="1"/>
    <cellStyle name="已瀏覽過的超連結" xfId="806" builtinId="9" hidden="1"/>
    <cellStyle name="已瀏覽過的超連結" xfId="808" builtinId="9" hidden="1"/>
    <cellStyle name="已瀏覽過的超連結" xfId="810" builtinId="9" hidden="1"/>
    <cellStyle name="已瀏覽過的超連結" xfId="812" builtinId="9" hidden="1"/>
    <cellStyle name="已瀏覽過的超連結" xfId="814" builtinId="9" hidden="1"/>
    <cellStyle name="已瀏覽過的超連結" xfId="816" builtinId="9" hidden="1"/>
    <cellStyle name="已瀏覽過的超連結" xfId="818" builtinId="9" hidden="1"/>
    <cellStyle name="已瀏覽過的超連結" xfId="820" builtinId="9" hidden="1"/>
    <cellStyle name="已瀏覽過的超連結" xfId="822" builtinId="9" hidden="1"/>
    <cellStyle name="已瀏覽過的超連結" xfId="824" builtinId="9" hidden="1"/>
    <cellStyle name="已瀏覽過的超連結" xfId="826" builtinId="9" hidden="1"/>
    <cellStyle name="已瀏覽過的超連結" xfId="828" builtinId="9" hidden="1"/>
    <cellStyle name="已瀏覽過的超連結" xfId="830" builtinId="9" hidden="1"/>
    <cellStyle name="已瀏覽過的超連結" xfId="832" builtinId="9" hidden="1"/>
    <cellStyle name="已瀏覽過的超連結" xfId="834" builtinId="9" hidden="1"/>
    <cellStyle name="已瀏覽過的超連結" xfId="836" builtinId="9" hidden="1"/>
    <cellStyle name="已瀏覽過的超連結" xfId="838" builtinId="9" hidden="1"/>
    <cellStyle name="已瀏覽過的超連結" xfId="840" builtinId="9" hidden="1"/>
    <cellStyle name="已瀏覽過的超連結" xfId="842" builtinId="9" hidden="1"/>
    <cellStyle name="已瀏覽過的超連結" xfId="844" builtinId="9" hidden="1"/>
    <cellStyle name="已瀏覽過的超連結" xfId="846" builtinId="9" hidden="1"/>
    <cellStyle name="已瀏覽過的超連結" xfId="848" builtinId="9" hidden="1"/>
    <cellStyle name="已瀏覽過的超連結" xfId="850" builtinId="9" hidden="1"/>
    <cellStyle name="已瀏覽過的超連結" xfId="852" builtinId="9" hidden="1"/>
    <cellStyle name="已瀏覽過的超連結" xfId="854" builtinId="9" hidden="1"/>
    <cellStyle name="已瀏覽過的超連結" xfId="856" builtinId="9" hidden="1"/>
    <cellStyle name="已瀏覽過的超連結" xfId="858" builtinId="9" hidden="1"/>
    <cellStyle name="已瀏覽過的超連結" xfId="860" builtinId="9" hidden="1"/>
    <cellStyle name="已瀏覽過的超連結" xfId="862" builtinId="9" hidden="1"/>
    <cellStyle name="已瀏覽過的超連結" xfId="864" builtinId="9" hidden="1"/>
    <cellStyle name="已瀏覽過的超連結" xfId="866" builtinId="9" hidden="1"/>
    <cellStyle name="已瀏覽過的超連結" xfId="868" builtinId="9" hidden="1"/>
    <cellStyle name="已瀏覽過的超連結" xfId="870" builtinId="9" hidden="1"/>
    <cellStyle name="已瀏覽過的超連結" xfId="872" builtinId="9" hidden="1"/>
    <cellStyle name="已瀏覽過的超連結" xfId="874" builtinId="9" hidden="1"/>
    <cellStyle name="已瀏覽過的超連結" xfId="876" builtinId="9" hidden="1"/>
    <cellStyle name="已瀏覽過的超連結" xfId="878" builtinId="9" hidden="1"/>
    <cellStyle name="已瀏覽過的超連結" xfId="880" builtinId="9" hidden="1"/>
    <cellStyle name="已瀏覽過的超連結" xfId="882" builtinId="9" hidden="1"/>
    <cellStyle name="已瀏覽過的超連結" xfId="884" builtinId="9" hidden="1"/>
    <cellStyle name="已瀏覽過的超連結" xfId="886" builtinId="9" hidden="1"/>
    <cellStyle name="已瀏覽過的超連結" xfId="888" builtinId="9" hidden="1"/>
    <cellStyle name="已瀏覽過的超連結" xfId="890" builtinId="9" hidden="1"/>
    <cellStyle name="已瀏覽過的超連結" xfId="892" builtinId="9" hidden="1"/>
    <cellStyle name="已瀏覽過的超連結" xfId="894" builtinId="9" hidden="1"/>
    <cellStyle name="已瀏覽過的超連結" xfId="896" builtinId="9" hidden="1"/>
    <cellStyle name="已瀏覽過的超連結" xfId="898" builtinId="9" hidden="1"/>
    <cellStyle name="已瀏覽過的超連結" xfId="900" builtinId="9" hidden="1"/>
    <cellStyle name="已瀏覽過的超連結" xfId="902" builtinId="9" hidden="1"/>
    <cellStyle name="已瀏覽過的超連結" xfId="904" builtinId="9" hidden="1"/>
    <cellStyle name="已瀏覽過的超連結" xfId="906" builtinId="9" hidden="1"/>
    <cellStyle name="已瀏覽過的超連結" xfId="908" builtinId="9" hidden="1"/>
    <cellStyle name="已瀏覽過的超連結" xfId="910" builtinId="9" hidden="1"/>
    <cellStyle name="已瀏覽過的超連結" xfId="912" builtinId="9" hidden="1"/>
    <cellStyle name="已瀏覽過的超連結" xfId="914" builtinId="9" hidden="1"/>
    <cellStyle name="已瀏覽過的超連結" xfId="916" builtinId="9" hidden="1"/>
    <cellStyle name="已瀏覽過的超連結" xfId="918" builtinId="9" hidden="1"/>
    <cellStyle name="已瀏覽過的超連結" xfId="920" builtinId="9" hidden="1"/>
    <cellStyle name="已瀏覽過的超連結" xfId="922" builtinId="9" hidden="1"/>
    <cellStyle name="已瀏覽過的超連結" xfId="924" builtinId="9" hidden="1"/>
    <cellStyle name="已瀏覽過的超連結" xfId="926" builtinId="9" hidden="1"/>
    <cellStyle name="已瀏覽過的超連結" xfId="928" builtinId="9" hidden="1"/>
    <cellStyle name="已瀏覽過的超連結" xfId="930" builtinId="9" hidden="1"/>
    <cellStyle name="已瀏覽過的超連結" xfId="932" builtinId="9" hidden="1"/>
    <cellStyle name="已瀏覽過的超連結" xfId="934" builtinId="9" hidden="1"/>
    <cellStyle name="已瀏覽過的超連結" xfId="936" builtinId="9" hidden="1"/>
    <cellStyle name="已瀏覽過的超連結" xfId="938" builtinId="9" hidden="1"/>
    <cellStyle name="已瀏覽過的超連結" xfId="940" builtinId="9" hidden="1"/>
    <cellStyle name="已瀏覽過的超連結" xfId="942" builtinId="9" hidden="1"/>
    <cellStyle name="已瀏覽過的超連結" xfId="944" builtinId="9" hidden="1"/>
    <cellStyle name="已瀏覽過的超連結" xfId="946" builtinId="9" hidden="1"/>
    <cellStyle name="已瀏覽過的超連結" xfId="948" builtinId="9" hidden="1"/>
    <cellStyle name="已瀏覽過的超連結" xfId="950" builtinId="9" hidden="1"/>
    <cellStyle name="已瀏覽過的超連結" xfId="952" builtinId="9" hidden="1"/>
    <cellStyle name="已瀏覽過的超連結" xfId="954" builtinId="9" hidden="1"/>
    <cellStyle name="已瀏覽過的超連結" xfId="956" builtinId="9" hidden="1"/>
    <cellStyle name="已瀏覽過的超連結" xfId="958" builtinId="9" hidden="1"/>
    <cellStyle name="已瀏覽過的超連結" xfId="960" builtinId="9" hidden="1"/>
    <cellStyle name="已瀏覽過的超連結" xfId="962" builtinId="9" hidden="1"/>
    <cellStyle name="已瀏覽過的超連結" xfId="964" builtinId="9" hidden="1"/>
    <cellStyle name="已瀏覽過的超連結" xfId="966" builtinId="9" hidden="1"/>
    <cellStyle name="已瀏覽過的超連結" xfId="968" builtinId="9" hidden="1"/>
    <cellStyle name="已瀏覽過的超連結" xfId="970" builtinId="9" hidden="1"/>
    <cellStyle name="已瀏覽過的超連結" xfId="972" builtinId="9" hidden="1"/>
    <cellStyle name="已瀏覽過的超連結" xfId="974" builtinId="9" hidden="1"/>
    <cellStyle name="已瀏覽過的超連結" xfId="976" builtinId="9" hidden="1"/>
    <cellStyle name="已瀏覽過的超連結" xfId="978" builtinId="9" hidden="1"/>
    <cellStyle name="已瀏覽過的超連結" xfId="980" builtinId="9" hidden="1"/>
    <cellStyle name="已瀏覽過的超連結" xfId="982" builtinId="9" hidden="1"/>
    <cellStyle name="已瀏覽過的超連結" xfId="984" builtinId="9" hidden="1"/>
    <cellStyle name="已瀏覽過的超連結" xfId="986" builtinId="9" hidden="1"/>
    <cellStyle name="已瀏覽過的超連結" xfId="988" builtinId="9" hidden="1"/>
    <cellStyle name="已瀏覽過的超連結" xfId="990" builtinId="9" hidden="1"/>
    <cellStyle name="已瀏覽過的超連結" xfId="992" builtinId="9" hidden="1"/>
    <cellStyle name="已瀏覽過的超連結" xfId="994" builtinId="9" hidden="1"/>
    <cellStyle name="已瀏覽過的超連結" xfId="996" builtinId="9" hidden="1"/>
    <cellStyle name="已瀏覽過的超連結" xfId="998" builtinId="9" hidden="1"/>
    <cellStyle name="已瀏覽過的超連結" xfId="1000" builtinId="9" hidden="1"/>
    <cellStyle name="已瀏覽過的超連結" xfId="1002" builtinId="9" hidden="1"/>
    <cellStyle name="已瀏覽過的超連結" xfId="1004" builtinId="9" hidden="1"/>
    <cellStyle name="已瀏覽過的超連結" xfId="1006" builtinId="9" hidden="1"/>
    <cellStyle name="已瀏覽過的超連結" xfId="1008" builtinId="9" hidden="1"/>
    <cellStyle name="已瀏覽過的超連結" xfId="1010" builtinId="9" hidden="1"/>
    <cellStyle name="已瀏覽過的超連結" xfId="1012" builtinId="9" hidden="1"/>
    <cellStyle name="已瀏覽過的超連結" xfId="1014" builtinId="9" hidden="1"/>
    <cellStyle name="已瀏覽過的超連結" xfId="1016" builtinId="9" hidden="1"/>
    <cellStyle name="已瀏覽過的超連結" xfId="1018" builtinId="9" hidden="1"/>
    <cellStyle name="已瀏覽過的超連結" xfId="1020" builtinId="9" hidden="1"/>
    <cellStyle name="已瀏覽過的超連結" xfId="1022" builtinId="9" hidden="1"/>
    <cellStyle name="已瀏覽過的超連結" xfId="1024" builtinId="9" hidden="1"/>
    <cellStyle name="已瀏覽過的超連結" xfId="1026" builtinId="9" hidden="1"/>
    <cellStyle name="已瀏覽過的超連結" xfId="1028" builtinId="9" hidden="1"/>
    <cellStyle name="已瀏覽過的超連結" xfId="1030" builtinId="9" hidden="1"/>
    <cellStyle name="已瀏覽過的超連結" xfId="1032" builtinId="9" hidden="1"/>
    <cellStyle name="已瀏覽過的超連結" xfId="1034" builtinId="9" hidden="1"/>
    <cellStyle name="已瀏覽過的超連結" xfId="1036" builtinId="9" hidden="1"/>
    <cellStyle name="已瀏覽過的超連結" xfId="1038" builtinId="9" hidden="1"/>
    <cellStyle name="已瀏覽過的超連結" xfId="1040" builtinId="9" hidden="1"/>
    <cellStyle name="已瀏覽過的超連結" xfId="1042" builtinId="9" hidden="1"/>
    <cellStyle name="已瀏覽過的超連結" xfId="1044" builtinId="9" hidden="1"/>
    <cellStyle name="已瀏覽過的超連結" xfId="1046" builtinId="9" hidden="1"/>
    <cellStyle name="已瀏覽過的超連結" xfId="1048" builtinId="9" hidden="1"/>
    <cellStyle name="已瀏覽過的超連結" xfId="1050" builtinId="9" hidden="1"/>
    <cellStyle name="已瀏覽過的超連結" xfId="1052" builtinId="9" hidden="1"/>
    <cellStyle name="已瀏覽過的超連結" xfId="1054" builtinId="9" hidden="1"/>
    <cellStyle name="已瀏覽過的超連結" xfId="1056" builtinId="9" hidden="1"/>
    <cellStyle name="已瀏覽過的超連結" xfId="1058" builtinId="9" hidden="1"/>
    <cellStyle name="已瀏覽過的超連結" xfId="1060" builtinId="9" hidden="1"/>
    <cellStyle name="已瀏覽過的超連結" xfId="1062" builtinId="9" hidden="1"/>
    <cellStyle name="已瀏覽過的超連結" xfId="1064" builtinId="9" hidden="1"/>
    <cellStyle name="已瀏覽過的超連結" xfId="1066" builtinId="9" hidden="1"/>
    <cellStyle name="已瀏覽過的超連結" xfId="1068" builtinId="9" hidden="1"/>
    <cellStyle name="已瀏覽過的超連結" xfId="1070" builtinId="9" hidden="1"/>
    <cellStyle name="已瀏覽過的超連結" xfId="1072" builtinId="9" hidden="1"/>
    <cellStyle name="已瀏覽過的超連結" xfId="1074" builtinId="9" hidden="1"/>
    <cellStyle name="已瀏覽過的超連結" xfId="1076" builtinId="9" hidden="1"/>
    <cellStyle name="已瀏覽過的超連結" xfId="1078" builtinId="9" hidden="1"/>
    <cellStyle name="已瀏覽過的超連結" xfId="1080" builtinId="9" hidden="1"/>
    <cellStyle name="已瀏覽過的超連結" xfId="1082" builtinId="9" hidden="1"/>
    <cellStyle name="已瀏覽過的超連結" xfId="1084" builtinId="9" hidden="1"/>
    <cellStyle name="已瀏覽過的超連結" xfId="1086" builtinId="9" hidden="1"/>
    <cellStyle name="已瀏覽過的超連結" xfId="1088" builtinId="9" hidden="1"/>
    <cellStyle name="已瀏覽過的超連結" xfId="1090" builtinId="9" hidden="1"/>
    <cellStyle name="已瀏覽過的超連結" xfId="1092" builtinId="9" hidden="1"/>
    <cellStyle name="已瀏覽過的超連結" xfId="1094" builtinId="9" hidden="1"/>
    <cellStyle name="已瀏覽過的超連結" xfId="1096" builtinId="9" hidden="1"/>
    <cellStyle name="已瀏覽過的超連結" xfId="1098" builtinId="9" hidden="1"/>
    <cellStyle name="已瀏覽過的超連結" xfId="1100" builtinId="9" hidden="1"/>
    <cellStyle name="已瀏覽過的超連結" xfId="1102" builtinId="9" hidden="1"/>
    <cellStyle name="已瀏覽過的超連結" xfId="1104" builtinId="9" hidden="1"/>
    <cellStyle name="已瀏覽過的超連結" xfId="1106" builtinId="9" hidden="1"/>
    <cellStyle name="已瀏覽過的超連結" xfId="1108" builtinId="9" hidden="1"/>
    <cellStyle name="已瀏覽過的超連結" xfId="1110" builtinId="9" hidden="1"/>
    <cellStyle name="已瀏覽過的超連結" xfId="1112" builtinId="9" hidden="1"/>
    <cellStyle name="已瀏覽過的超連結" xfId="1114" builtinId="9" hidden="1"/>
    <cellStyle name="已瀏覽過的超連結" xfId="1116" builtinId="9" hidden="1"/>
    <cellStyle name="已瀏覽過的超連結" xfId="1118" builtinId="9" hidden="1"/>
    <cellStyle name="已瀏覽過的超連結" xfId="1120" builtinId="9" hidden="1"/>
    <cellStyle name="已瀏覽過的超連結" xfId="1122" builtinId="9" hidden="1"/>
    <cellStyle name="已瀏覽過的超連結" xfId="1124" builtinId="9" hidden="1"/>
    <cellStyle name="已瀏覽過的超連結" xfId="1126" builtinId="9" hidden="1"/>
    <cellStyle name="已瀏覽過的超連結" xfId="1128" builtinId="9" hidden="1"/>
    <cellStyle name="已瀏覽過的超連結" xfId="1130" builtinId="9" hidden="1"/>
    <cellStyle name="已瀏覽過的超連結" xfId="1132" builtinId="9" hidden="1"/>
    <cellStyle name="已瀏覽過的超連結" xfId="1134" builtinId="9" hidden="1"/>
    <cellStyle name="已瀏覽過的超連結" xfId="1136" builtinId="9" hidden="1"/>
    <cellStyle name="已瀏覽過的超連結" xfId="1138" builtinId="9" hidden="1"/>
    <cellStyle name="已瀏覽過的超連結" xfId="1140" builtinId="9" hidden="1"/>
    <cellStyle name="已瀏覽過的超連結" xfId="1142" builtinId="9" hidden="1"/>
    <cellStyle name="已瀏覽過的超連結" xfId="1144" builtinId="9" hidden="1"/>
    <cellStyle name="已瀏覽過的超連結" xfId="1146" builtinId="9" hidden="1"/>
    <cellStyle name="已瀏覽過的超連結" xfId="1148" builtinId="9" hidden="1"/>
    <cellStyle name="已瀏覽過的超連結" xfId="1150" builtinId="9" hidden="1"/>
    <cellStyle name="已瀏覽過的超連結" xfId="1152" builtinId="9" hidden="1"/>
    <cellStyle name="已瀏覽過的超連結" xfId="1154" builtinId="9" hidden="1"/>
    <cellStyle name="已瀏覽過的超連結" xfId="1156" builtinId="9" hidden="1"/>
    <cellStyle name="已瀏覽過的超連結" xfId="1158" builtinId="9" hidden="1"/>
    <cellStyle name="已瀏覽過的超連結" xfId="1160" builtinId="9" hidden="1"/>
    <cellStyle name="已瀏覽過的超連結" xfId="1162" builtinId="9" hidden="1"/>
    <cellStyle name="已瀏覽過的超連結" xfId="1164" builtinId="9" hidden="1"/>
    <cellStyle name="已瀏覽過的超連結" xfId="1166" builtinId="9" hidden="1"/>
    <cellStyle name="已瀏覽過的超連結" xfId="1168" builtinId="9" hidden="1"/>
    <cellStyle name="已瀏覽過的超連結" xfId="1170" builtinId="9" hidden="1"/>
    <cellStyle name="已瀏覽過的超連結" xfId="1172" builtinId="9" hidden="1"/>
    <cellStyle name="已瀏覽過的超連結" xfId="1174" builtinId="9" hidden="1"/>
    <cellStyle name="已瀏覽過的超連結" xfId="1176" builtinId="9" hidden="1"/>
    <cellStyle name="已瀏覽過的超連結" xfId="1178" builtinId="9" hidden="1"/>
    <cellStyle name="已瀏覽過的超連結" xfId="1180" builtinId="9" hidden="1"/>
    <cellStyle name="已瀏覽過的超連結" xfId="1182" builtinId="9" hidden="1"/>
    <cellStyle name="已瀏覽過的超連結" xfId="1184" builtinId="9" hidden="1"/>
    <cellStyle name="已瀏覽過的超連結" xfId="1186" builtinId="9" hidden="1"/>
    <cellStyle name="已瀏覽過的超連結" xfId="1188" builtinId="9" hidden="1"/>
    <cellStyle name="已瀏覽過的超連結" xfId="1190" builtinId="9" hidden="1"/>
    <cellStyle name="已瀏覽過的超連結" xfId="1192" builtinId="9" hidden="1"/>
    <cellStyle name="已瀏覽過的超連結" xfId="1194" builtinId="9" hidden="1"/>
    <cellStyle name="已瀏覽過的超連結" xfId="1196" builtinId="9" hidden="1"/>
    <cellStyle name="已瀏覽過的超連結" xfId="1198" builtinId="9" hidden="1"/>
    <cellStyle name="已瀏覽過的超連結" xfId="1200" builtinId="9" hidden="1"/>
    <cellStyle name="已瀏覽過的超連結" xfId="1202" builtinId="9" hidden="1"/>
    <cellStyle name="已瀏覽過的超連結" xfId="1204" builtinId="9" hidden="1"/>
    <cellStyle name="已瀏覽過的超連結" xfId="1206" builtinId="9" hidden="1"/>
    <cellStyle name="已瀏覽過的超連結" xfId="1208" builtinId="9" hidden="1"/>
    <cellStyle name="已瀏覽過的超連結" xfId="1210" builtinId="9" hidden="1"/>
    <cellStyle name="已瀏覽過的超連結" xfId="1212" builtinId="9" hidden="1"/>
    <cellStyle name="已瀏覽過的超連結" xfId="1214" builtinId="9" hidden="1"/>
    <cellStyle name="已瀏覽過的超連結" xfId="1216" builtinId="9" hidden="1"/>
    <cellStyle name="已瀏覽過的超連結" xfId="1218" builtinId="9" hidden="1"/>
    <cellStyle name="已瀏覽過的超連結" xfId="1220" builtinId="9" hidden="1"/>
    <cellStyle name="已瀏覽過的超連結" xfId="1222" builtinId="9" hidden="1"/>
    <cellStyle name="已瀏覽過的超連結" xfId="1224" builtinId="9" hidden="1"/>
    <cellStyle name="已瀏覽過的超連結" xfId="1226" builtinId="9" hidden="1"/>
    <cellStyle name="已瀏覽過的超連結" xfId="1228" builtinId="9" hidden="1"/>
    <cellStyle name="已瀏覽過的超連結" xfId="1230" builtinId="9" hidden="1"/>
    <cellStyle name="已瀏覽過的超連結" xfId="1232" builtinId="9" hidden="1"/>
    <cellStyle name="已瀏覽過的超連結" xfId="1234" builtinId="9" hidden="1"/>
    <cellStyle name="已瀏覽過的超連結" xfId="1236" builtinId="9" hidden="1"/>
    <cellStyle name="已瀏覽過的超連結" xfId="1238" builtinId="9" hidden="1"/>
    <cellStyle name="已瀏覽過的超連結" xfId="1240" builtinId="9" hidden="1"/>
    <cellStyle name="已瀏覽過的超連結" xfId="1242" builtinId="9" hidden="1"/>
    <cellStyle name="已瀏覽過的超連結" xfId="1244" builtinId="9" hidden="1"/>
    <cellStyle name="已瀏覽過的超連結" xfId="1246" builtinId="9" hidden="1"/>
    <cellStyle name="已瀏覽過的超連結" xfId="1248" builtinId="9" hidden="1"/>
    <cellStyle name="已瀏覽過的超連結" xfId="1250" builtinId="9" hidden="1"/>
    <cellStyle name="已瀏覽過的超連結" xfId="1252" builtinId="9" hidden="1"/>
    <cellStyle name="已瀏覽過的超連結" xfId="1254" builtinId="9" hidden="1"/>
    <cellStyle name="已瀏覽過的超連結" xfId="1256" builtinId="9" hidden="1"/>
    <cellStyle name="已瀏覽過的超連結" xfId="1258" builtinId="9" hidden="1"/>
    <cellStyle name="已瀏覽過的超連結" xfId="1260" builtinId="9" hidden="1"/>
    <cellStyle name="已瀏覽過的超連結" xfId="1262" builtinId="9" hidden="1"/>
    <cellStyle name="已瀏覽過的超連結" xfId="1264" builtinId="9" hidden="1"/>
    <cellStyle name="已瀏覽過的超連結" xfId="1266" builtinId="9" hidden="1"/>
    <cellStyle name="已瀏覽過的超連結" xfId="1268" builtinId="9" hidden="1"/>
    <cellStyle name="已瀏覽過的超連結" xfId="1270" builtinId="9" hidden="1"/>
    <cellStyle name="已瀏覽過的超連結" xfId="1272" builtinId="9" hidden="1"/>
    <cellStyle name="已瀏覽過的超連結" xfId="1274" builtinId="9" hidden="1"/>
    <cellStyle name="已瀏覽過的超連結" xfId="1276" builtinId="9" hidden="1"/>
    <cellStyle name="已瀏覽過的超連結" xfId="1278" builtinId="9" hidden="1"/>
    <cellStyle name="已瀏覽過的超連結" xfId="1280" builtinId="9" hidden="1"/>
    <cellStyle name="已瀏覽過的超連結" xfId="1282" builtinId="9" hidden="1"/>
    <cellStyle name="已瀏覽過的超連結" xfId="1284" builtinId="9" hidden="1"/>
    <cellStyle name="已瀏覽過的超連結" xfId="1286" builtinId="9" hidden="1"/>
    <cellStyle name="已瀏覽過的超連結" xfId="1288" builtinId="9" hidden="1"/>
    <cellStyle name="已瀏覽過的超連結" xfId="1290" builtinId="9" hidden="1"/>
    <cellStyle name="已瀏覽過的超連結" xfId="1292" builtinId="9" hidden="1"/>
    <cellStyle name="已瀏覽過的超連結" xfId="1294" builtinId="9" hidden="1"/>
    <cellStyle name="已瀏覽過的超連結" xfId="1296" builtinId="9" hidden="1"/>
    <cellStyle name="已瀏覽過的超連結" xfId="1298" builtinId="9" hidden="1"/>
    <cellStyle name="已瀏覽過的超連結" xfId="1300" builtinId="9" hidden="1"/>
    <cellStyle name="已瀏覽過的超連結" xfId="1302" builtinId="9" hidden="1"/>
    <cellStyle name="已瀏覽過的超連結" xfId="1304" builtinId="9" hidden="1"/>
    <cellStyle name="已瀏覽過的超連結" xfId="1306" builtinId="9" hidden="1"/>
    <cellStyle name="已瀏覽過的超連結" xfId="1308" builtinId="9" hidden="1"/>
    <cellStyle name="已瀏覽過的超連結" xfId="1310" builtinId="9" hidden="1"/>
    <cellStyle name="已瀏覽過的超連結" xfId="1312" builtinId="9" hidden="1"/>
    <cellStyle name="已瀏覽過的超連結" xfId="1314" builtinId="9" hidden="1"/>
    <cellStyle name="已瀏覽過的超連結" xfId="1316" builtinId="9" hidden="1"/>
    <cellStyle name="已瀏覽過的超連結" xfId="1318" builtinId="9" hidden="1"/>
    <cellStyle name="已瀏覽過的超連結" xfId="1320" builtinId="9" hidden="1"/>
    <cellStyle name="已瀏覽過的超連結" xfId="1322" builtinId="9" hidden="1"/>
    <cellStyle name="已瀏覽過的超連結" xfId="1324" builtinId="9" hidden="1"/>
    <cellStyle name="已瀏覽過的超連結" xfId="1326" builtinId="9" hidden="1"/>
    <cellStyle name="已瀏覽過的超連結" xfId="1328" builtinId="9" hidden="1"/>
    <cellStyle name="已瀏覽過的超連結" xfId="1330" builtinId="9" hidden="1"/>
    <cellStyle name="已瀏覽過的超連結" xfId="1332" builtinId="9" hidden="1"/>
    <cellStyle name="已瀏覽過的超連結" xfId="1334" builtinId="9" hidden="1"/>
    <cellStyle name="已瀏覽過的超連結" xfId="1336" builtinId="9" hidden="1"/>
    <cellStyle name="已瀏覽過的超連結" xfId="1338" builtinId="9" hidden="1"/>
    <cellStyle name="已瀏覽過的超連結" xfId="1340" builtinId="9" hidden="1"/>
    <cellStyle name="已瀏覽過的超連結" xfId="1342" builtinId="9" hidden="1"/>
    <cellStyle name="已瀏覽過的超連結" xfId="1344" builtinId="9" hidden="1"/>
    <cellStyle name="已瀏覽過的超連結" xfId="1346" builtinId="9" hidden="1"/>
    <cellStyle name="已瀏覽過的超連結" xfId="1348" builtinId="9" hidden="1"/>
    <cellStyle name="已瀏覽過的超連結" xfId="1350" builtinId="9" hidden="1"/>
    <cellStyle name="已瀏覽過的超連結" xfId="1352" builtinId="9" hidden="1"/>
    <cellStyle name="已瀏覽過的超連結" xfId="1354" builtinId="9" hidden="1"/>
    <cellStyle name="已瀏覽過的超連結" xfId="1356" builtinId="9" hidden="1"/>
    <cellStyle name="已瀏覽過的超連結" xfId="1358" builtinId="9" hidden="1"/>
    <cellStyle name="已瀏覽過的超連結" xfId="1360" builtinId="9" hidden="1"/>
    <cellStyle name="已瀏覽過的超連結" xfId="1362" builtinId="9" hidden="1"/>
    <cellStyle name="已瀏覽過的超連結" xfId="1364" builtinId="9" hidden="1"/>
    <cellStyle name="已瀏覽過的超連結" xfId="1366" builtinId="9" hidden="1"/>
    <cellStyle name="已瀏覽過的超連結" xfId="1368" builtinId="9" hidden="1"/>
    <cellStyle name="已瀏覽過的超連結" xfId="1370" builtinId="9" hidden="1"/>
    <cellStyle name="已瀏覽過的超連結" xfId="1372" builtinId="9" hidden="1"/>
    <cellStyle name="已瀏覽過的超連結" xfId="1374" builtinId="9" hidden="1"/>
    <cellStyle name="已瀏覽過的超連結" xfId="1376" builtinId="9" hidden="1"/>
    <cellStyle name="已瀏覽過的超連結" xfId="1378" builtinId="9" hidden="1"/>
    <cellStyle name="已瀏覽過的超連結" xfId="1380" builtinId="9" hidden="1"/>
    <cellStyle name="超連結" xfId="1" builtinId="8" hidden="1"/>
    <cellStyle name="超連結" xfId="3" builtinId="8" hidden="1"/>
    <cellStyle name="超連結" xfId="5" builtinId="8" hidden="1"/>
    <cellStyle name="超連結" xfId="7" builtinId="8" hidden="1"/>
    <cellStyle name="超連結" xfId="9" builtinId="8" hidden="1"/>
    <cellStyle name="超連結" xfId="11" builtinId="8" hidden="1"/>
    <cellStyle name="超連結" xfId="13" builtinId="8" hidden="1"/>
    <cellStyle name="超連結" xfId="15" builtinId="8" hidden="1"/>
    <cellStyle name="超連結" xfId="17" builtinId="8" hidden="1"/>
    <cellStyle name="超連結" xfId="19" builtinId="8" hidden="1"/>
    <cellStyle name="超連結" xfId="21" builtinId="8" hidden="1"/>
    <cellStyle name="超連結" xfId="23" builtinId="8" hidden="1"/>
    <cellStyle name="超連結" xfId="25" builtinId="8" hidden="1"/>
    <cellStyle name="超連結" xfId="27" builtinId="8" hidden="1"/>
    <cellStyle name="超連結" xfId="29" builtinId="8" hidden="1"/>
    <cellStyle name="超連結" xfId="31" builtinId="8" hidden="1"/>
    <cellStyle name="超連結" xfId="33" builtinId="8" hidden="1"/>
    <cellStyle name="超連結" xfId="35" builtinId="8" hidden="1"/>
    <cellStyle name="超連結" xfId="37" builtinId="8" hidden="1"/>
    <cellStyle name="超連結" xfId="39" builtinId="8" hidden="1"/>
    <cellStyle name="超連結" xfId="41" builtinId="8" hidden="1"/>
    <cellStyle name="超連結" xfId="43" builtinId="8" hidden="1"/>
    <cellStyle name="超連結" xfId="45" builtinId="8" hidden="1"/>
    <cellStyle name="超連結" xfId="47" builtinId="8" hidden="1"/>
    <cellStyle name="超連結" xfId="49" builtinId="8" hidden="1"/>
    <cellStyle name="超連結" xfId="51" builtinId="8" hidden="1"/>
    <cellStyle name="超連結" xfId="53" builtinId="8" hidden="1"/>
    <cellStyle name="超連結" xfId="55" builtinId="8" hidden="1"/>
    <cellStyle name="超連結" xfId="57" builtinId="8" hidden="1"/>
    <cellStyle name="超連結" xfId="59" builtinId="8" hidden="1"/>
    <cellStyle name="超連結" xfId="61" builtinId="8" hidden="1"/>
    <cellStyle name="超連結" xfId="63" builtinId="8" hidden="1"/>
    <cellStyle name="超連結" xfId="65" builtinId="8" hidden="1"/>
    <cellStyle name="超連結" xfId="67" builtinId="8" hidden="1"/>
    <cellStyle name="超連結" xfId="69" builtinId="8" hidden="1"/>
    <cellStyle name="超連結" xfId="71" builtinId="8" hidden="1"/>
    <cellStyle name="超連結" xfId="73" builtinId="8" hidden="1"/>
    <cellStyle name="超連結" xfId="75" builtinId="8" hidden="1"/>
    <cellStyle name="超連結" xfId="77" builtinId="8" hidden="1"/>
    <cellStyle name="超連結" xfId="79" builtinId="8" hidden="1"/>
    <cellStyle name="超連結" xfId="81" builtinId="8" hidden="1"/>
    <cellStyle name="超連結" xfId="83" builtinId="8" hidden="1"/>
    <cellStyle name="超連結" xfId="85" builtinId="8" hidden="1"/>
    <cellStyle name="超連結" xfId="87" builtinId="8" hidden="1"/>
    <cellStyle name="超連結" xfId="89" builtinId="8" hidden="1"/>
    <cellStyle name="超連結" xfId="91" builtinId="8" hidden="1"/>
    <cellStyle name="超連結" xfId="93" builtinId="8" hidden="1"/>
    <cellStyle name="超連結" xfId="95" builtinId="8" hidden="1"/>
    <cellStyle name="超連結" xfId="97" builtinId="8" hidden="1"/>
    <cellStyle name="超連結" xfId="99" builtinId="8" hidden="1"/>
    <cellStyle name="超連結" xfId="101" builtinId="8" hidden="1"/>
    <cellStyle name="超連結" xfId="103" builtinId="8" hidden="1"/>
    <cellStyle name="超連結" xfId="105" builtinId="8" hidden="1"/>
    <cellStyle name="超連結" xfId="107" builtinId="8" hidden="1"/>
    <cellStyle name="超連結" xfId="109" builtinId="8" hidden="1"/>
    <cellStyle name="超連結" xfId="111" builtinId="8" hidden="1"/>
    <cellStyle name="超連結" xfId="113" builtinId="8" hidden="1"/>
    <cellStyle name="超連結" xfId="115" builtinId="8" hidden="1"/>
    <cellStyle name="超連結" xfId="117" builtinId="8" hidden="1"/>
    <cellStyle name="超連結" xfId="119" builtinId="8" hidden="1"/>
    <cellStyle name="超連結" xfId="121" builtinId="8" hidden="1"/>
    <cellStyle name="超連結" xfId="123" builtinId="8" hidden="1"/>
    <cellStyle name="超連結" xfId="125" builtinId="8" hidden="1"/>
    <cellStyle name="超連結" xfId="127" builtinId="8" hidden="1"/>
    <cellStyle name="超連結" xfId="129" builtinId="8" hidden="1"/>
    <cellStyle name="超連結" xfId="131" builtinId="8" hidden="1"/>
    <cellStyle name="超連結" xfId="133" builtinId="8" hidden="1"/>
    <cellStyle name="超連結" xfId="135" builtinId="8" hidden="1"/>
    <cellStyle name="超連結" xfId="137" builtinId="8" hidden="1"/>
    <cellStyle name="超連結" xfId="139" builtinId="8" hidden="1"/>
    <cellStyle name="超連結" xfId="141" builtinId="8" hidden="1"/>
    <cellStyle name="超連結" xfId="143" builtinId="8" hidden="1"/>
    <cellStyle name="超連結" xfId="145" builtinId="8" hidden="1"/>
    <cellStyle name="超連結" xfId="147" builtinId="8" hidden="1"/>
    <cellStyle name="超連結" xfId="149" builtinId="8" hidden="1"/>
    <cellStyle name="超連結" xfId="151" builtinId="8" hidden="1"/>
    <cellStyle name="超連結" xfId="153" builtinId="8" hidden="1"/>
    <cellStyle name="超連結" xfId="155" builtinId="8" hidden="1"/>
    <cellStyle name="超連結" xfId="157" builtinId="8" hidden="1"/>
    <cellStyle name="超連結" xfId="159" builtinId="8" hidden="1"/>
    <cellStyle name="超連結" xfId="161" builtinId="8" hidden="1"/>
    <cellStyle name="超連結" xfId="163" builtinId="8" hidden="1"/>
    <cellStyle name="超連結" xfId="165" builtinId="8" hidden="1"/>
    <cellStyle name="超連結" xfId="167" builtinId="8" hidden="1"/>
    <cellStyle name="超連結" xfId="169" builtinId="8" hidden="1"/>
    <cellStyle name="超連結" xfId="171" builtinId="8" hidden="1"/>
    <cellStyle name="超連結" xfId="173" builtinId="8" hidden="1"/>
    <cellStyle name="超連結" xfId="175" builtinId="8" hidden="1"/>
    <cellStyle name="超連結" xfId="177" builtinId="8" hidden="1"/>
    <cellStyle name="超連結" xfId="179" builtinId="8" hidden="1"/>
    <cellStyle name="超連結" xfId="181" builtinId="8" hidden="1"/>
    <cellStyle name="超連結" xfId="183" builtinId="8" hidden="1"/>
    <cellStyle name="超連結" xfId="185" builtinId="8" hidden="1"/>
    <cellStyle name="超連結" xfId="187" builtinId="8" hidden="1"/>
    <cellStyle name="超連結" xfId="189" builtinId="8" hidden="1"/>
    <cellStyle name="超連結" xfId="191" builtinId="8" hidden="1"/>
    <cellStyle name="超連結" xfId="193" builtinId="8" hidden="1"/>
    <cellStyle name="超連結" xfId="195" builtinId="8" hidden="1"/>
    <cellStyle name="超連結" xfId="197" builtinId="8" hidden="1"/>
    <cellStyle name="超連結" xfId="199" builtinId="8" hidden="1"/>
    <cellStyle name="超連結" xfId="201" builtinId="8" hidden="1"/>
    <cellStyle name="超連結" xfId="203" builtinId="8" hidden="1"/>
    <cellStyle name="超連結" xfId="205" builtinId="8" hidden="1"/>
    <cellStyle name="超連結" xfId="207" builtinId="8" hidden="1"/>
    <cellStyle name="超連結" xfId="209" builtinId="8" hidden="1"/>
    <cellStyle name="超連結" xfId="211" builtinId="8" hidden="1"/>
    <cellStyle name="超連結" xfId="213" builtinId="8" hidden="1"/>
    <cellStyle name="超連結" xfId="215" builtinId="8" hidden="1"/>
    <cellStyle name="超連結" xfId="217" builtinId="8" hidden="1"/>
    <cellStyle name="超連結" xfId="219" builtinId="8" hidden="1"/>
    <cellStyle name="超連結" xfId="221" builtinId="8" hidden="1"/>
    <cellStyle name="超連結" xfId="223" builtinId="8" hidden="1"/>
    <cellStyle name="超連結" xfId="225" builtinId="8" hidden="1"/>
    <cellStyle name="超連結" xfId="227" builtinId="8" hidden="1"/>
    <cellStyle name="超連結" xfId="229" builtinId="8" hidden="1"/>
    <cellStyle name="超連結" xfId="231" builtinId="8" hidden="1"/>
    <cellStyle name="超連結" xfId="233" builtinId="8" hidden="1"/>
    <cellStyle name="超連結" xfId="235" builtinId="8" hidden="1"/>
    <cellStyle name="超連結" xfId="237" builtinId="8" hidden="1"/>
    <cellStyle name="超連結" xfId="239" builtinId="8" hidden="1"/>
    <cellStyle name="超連結" xfId="241" builtinId="8" hidden="1"/>
    <cellStyle name="超連結" xfId="243" builtinId="8" hidden="1"/>
    <cellStyle name="超連結" xfId="245" builtinId="8" hidden="1"/>
    <cellStyle name="超連結" xfId="247" builtinId="8" hidden="1"/>
    <cellStyle name="超連結" xfId="249" builtinId="8" hidden="1"/>
    <cellStyle name="超連結" xfId="251" builtinId="8" hidden="1"/>
    <cellStyle name="超連結" xfId="253" builtinId="8" hidden="1"/>
    <cellStyle name="超連結" xfId="255" builtinId="8" hidden="1"/>
    <cellStyle name="超連結" xfId="257" builtinId="8" hidden="1"/>
    <cellStyle name="超連結" xfId="259" builtinId="8" hidden="1"/>
    <cellStyle name="超連結" xfId="261" builtinId="8" hidden="1"/>
    <cellStyle name="超連結" xfId="263" builtinId="8" hidden="1"/>
    <cellStyle name="超連結" xfId="265" builtinId="8" hidden="1"/>
    <cellStyle name="超連結" xfId="267" builtinId="8" hidden="1"/>
    <cellStyle name="超連結" xfId="269" builtinId="8" hidden="1"/>
    <cellStyle name="超連結" xfId="271" builtinId="8" hidden="1"/>
    <cellStyle name="超連結" xfId="273" builtinId="8" hidden="1"/>
    <cellStyle name="超連結" xfId="275" builtinId="8" hidden="1"/>
    <cellStyle name="超連結" xfId="277" builtinId="8" hidden="1"/>
    <cellStyle name="超連結" xfId="279" builtinId="8" hidden="1"/>
    <cellStyle name="超連結" xfId="281" builtinId="8" hidden="1"/>
    <cellStyle name="超連結" xfId="283" builtinId="8" hidden="1"/>
    <cellStyle name="超連結" xfId="285" builtinId="8" hidden="1"/>
    <cellStyle name="超連結" xfId="287" builtinId="8" hidden="1"/>
    <cellStyle name="超連結" xfId="289" builtinId="8" hidden="1"/>
    <cellStyle name="超連結" xfId="291" builtinId="8" hidden="1"/>
    <cellStyle name="超連結" xfId="293" builtinId="8" hidden="1"/>
    <cellStyle name="超連結" xfId="295" builtinId="8" hidden="1"/>
    <cellStyle name="超連結" xfId="297" builtinId="8" hidden="1"/>
    <cellStyle name="超連結" xfId="299" builtinId="8" hidden="1"/>
    <cellStyle name="超連結" xfId="301" builtinId="8" hidden="1"/>
    <cellStyle name="超連結" xfId="303" builtinId="8" hidden="1"/>
    <cellStyle name="超連結" xfId="305" builtinId="8" hidden="1"/>
    <cellStyle name="超連結" xfId="307" builtinId="8" hidden="1"/>
    <cellStyle name="超連結" xfId="309" builtinId="8" hidden="1"/>
    <cellStyle name="超連結" xfId="311" builtinId="8" hidden="1"/>
    <cellStyle name="超連結" xfId="313" builtinId="8" hidden="1"/>
    <cellStyle name="超連結" xfId="315" builtinId="8" hidden="1"/>
    <cellStyle name="超連結" xfId="317" builtinId="8" hidden="1"/>
    <cellStyle name="超連結" xfId="319" builtinId="8" hidden="1"/>
    <cellStyle name="超連結" xfId="321" builtinId="8" hidden="1"/>
    <cellStyle name="超連結" xfId="323" builtinId="8" hidden="1"/>
    <cellStyle name="超連結" xfId="325" builtinId="8" hidden="1"/>
    <cellStyle name="超連結" xfId="327" builtinId="8" hidden="1"/>
    <cellStyle name="超連結" xfId="329" builtinId="8" hidden="1"/>
    <cellStyle name="超連結" xfId="331" builtinId="8" hidden="1"/>
    <cellStyle name="超連結" xfId="333" builtinId="8" hidden="1"/>
    <cellStyle name="超連結" xfId="335" builtinId="8" hidden="1"/>
    <cellStyle name="超連結" xfId="337" builtinId="8" hidden="1"/>
    <cellStyle name="超連結" xfId="339" builtinId="8" hidden="1"/>
    <cellStyle name="超連結" xfId="341" builtinId="8" hidden="1"/>
    <cellStyle name="超連結" xfId="343" builtinId="8" hidden="1"/>
    <cellStyle name="超連結" xfId="345" builtinId="8" hidden="1"/>
    <cellStyle name="超連結" xfId="347" builtinId="8" hidden="1"/>
    <cellStyle name="超連結" xfId="349" builtinId="8" hidden="1"/>
    <cellStyle name="超連結" xfId="351" builtinId="8" hidden="1"/>
    <cellStyle name="超連結" xfId="353" builtinId="8" hidden="1"/>
    <cellStyle name="超連結" xfId="355" builtinId="8" hidden="1"/>
    <cellStyle name="超連結" xfId="357" builtinId="8" hidden="1"/>
    <cellStyle name="超連結" xfId="359" builtinId="8" hidden="1"/>
    <cellStyle name="超連結" xfId="361" builtinId="8" hidden="1"/>
    <cellStyle name="超連結" xfId="363" builtinId="8" hidden="1"/>
    <cellStyle name="超連結" xfId="365" builtinId="8" hidden="1"/>
    <cellStyle name="超連結" xfId="367" builtinId="8" hidden="1"/>
    <cellStyle name="超連結" xfId="369" builtinId="8" hidden="1"/>
    <cellStyle name="超連結" xfId="371" builtinId="8" hidden="1"/>
    <cellStyle name="超連結" xfId="373" builtinId="8" hidden="1"/>
    <cellStyle name="超連結" xfId="375" builtinId="8" hidden="1"/>
    <cellStyle name="超連結" xfId="377" builtinId="8" hidden="1"/>
    <cellStyle name="超連結" xfId="379" builtinId="8" hidden="1"/>
    <cellStyle name="超連結" xfId="381" builtinId="8" hidden="1"/>
    <cellStyle name="超連結" xfId="383" builtinId="8" hidden="1"/>
    <cellStyle name="超連結" xfId="385" builtinId="8" hidden="1"/>
    <cellStyle name="超連結" xfId="387" builtinId="8" hidden="1"/>
    <cellStyle name="超連結" xfId="389" builtinId="8" hidden="1"/>
    <cellStyle name="超連結" xfId="391" builtinId="8" hidden="1"/>
    <cellStyle name="超連結" xfId="393" builtinId="8" hidden="1"/>
    <cellStyle name="超連結" xfId="395" builtinId="8" hidden="1"/>
    <cellStyle name="超連結" xfId="397" builtinId="8" hidden="1"/>
    <cellStyle name="超連結" xfId="399" builtinId="8" hidden="1"/>
    <cellStyle name="超連結" xfId="401" builtinId="8" hidden="1"/>
    <cellStyle name="超連結" xfId="403" builtinId="8" hidden="1"/>
    <cellStyle name="超連結" xfId="405" builtinId="8" hidden="1"/>
    <cellStyle name="超連結" xfId="407" builtinId="8" hidden="1"/>
    <cellStyle name="超連結" xfId="409" builtinId="8" hidden="1"/>
    <cellStyle name="超連結" xfId="411" builtinId="8" hidden="1"/>
    <cellStyle name="超連結" xfId="413" builtinId="8" hidden="1"/>
    <cellStyle name="超連結" xfId="415" builtinId="8" hidden="1"/>
    <cellStyle name="超連結" xfId="417" builtinId="8" hidden="1"/>
    <cellStyle name="超連結" xfId="419" builtinId="8" hidden="1"/>
    <cellStyle name="超連結" xfId="421" builtinId="8" hidden="1"/>
    <cellStyle name="超連結" xfId="423" builtinId="8" hidden="1"/>
    <cellStyle name="超連結" xfId="425" builtinId="8" hidden="1"/>
    <cellStyle name="超連結" xfId="427" builtinId="8" hidden="1"/>
    <cellStyle name="超連結" xfId="429" builtinId="8" hidden="1"/>
    <cellStyle name="超連結" xfId="431" builtinId="8" hidden="1"/>
    <cellStyle name="超連結" xfId="433" builtinId="8" hidden="1"/>
    <cellStyle name="超連結" xfId="435" builtinId="8" hidden="1"/>
    <cellStyle name="超連結" xfId="437" builtinId="8" hidden="1"/>
    <cellStyle name="超連結" xfId="439" builtinId="8" hidden="1"/>
    <cellStyle name="超連結" xfId="441" builtinId="8" hidden="1"/>
    <cellStyle name="超連結" xfId="443" builtinId="8" hidden="1"/>
    <cellStyle name="超連結" xfId="445" builtinId="8" hidden="1"/>
    <cellStyle name="超連結" xfId="447" builtinId="8" hidden="1"/>
    <cellStyle name="超連結" xfId="449" builtinId="8" hidden="1"/>
    <cellStyle name="超連結" xfId="451" builtinId="8" hidden="1"/>
    <cellStyle name="超連結" xfId="453" builtinId="8" hidden="1"/>
    <cellStyle name="超連結" xfId="455" builtinId="8" hidden="1"/>
    <cellStyle name="超連結" xfId="457" builtinId="8" hidden="1"/>
    <cellStyle name="超連結" xfId="459" builtinId="8" hidden="1"/>
    <cellStyle name="超連結" xfId="461" builtinId="8" hidden="1"/>
    <cellStyle name="超連結" xfId="463" builtinId="8" hidden="1"/>
    <cellStyle name="超連結" xfId="465" builtinId="8" hidden="1"/>
    <cellStyle name="超連結" xfId="467" builtinId="8" hidden="1"/>
    <cellStyle name="超連結" xfId="469" builtinId="8" hidden="1"/>
    <cellStyle name="超連結" xfId="471" builtinId="8" hidden="1"/>
    <cellStyle name="超連結" xfId="473" builtinId="8" hidden="1"/>
    <cellStyle name="超連結" xfId="475" builtinId="8" hidden="1"/>
    <cellStyle name="超連結" xfId="477" builtinId="8" hidden="1"/>
    <cellStyle name="超連結" xfId="479" builtinId="8" hidden="1"/>
    <cellStyle name="超連結" xfId="481" builtinId="8" hidden="1"/>
    <cellStyle name="超連結" xfId="483" builtinId="8" hidden="1"/>
    <cellStyle name="超連結" xfId="485" builtinId="8" hidden="1"/>
    <cellStyle name="超連結" xfId="487" builtinId="8" hidden="1"/>
    <cellStyle name="超連結" xfId="489" builtinId="8" hidden="1"/>
    <cellStyle name="超連結" xfId="491" builtinId="8" hidden="1"/>
    <cellStyle name="超連結" xfId="493" builtinId="8" hidden="1"/>
    <cellStyle name="超連結" xfId="495" builtinId="8" hidden="1"/>
    <cellStyle name="超連結" xfId="497" builtinId="8" hidden="1"/>
    <cellStyle name="超連結" xfId="499" builtinId="8" hidden="1"/>
    <cellStyle name="超連結" xfId="501" builtinId="8" hidden="1"/>
    <cellStyle name="超連結" xfId="503" builtinId="8" hidden="1"/>
    <cellStyle name="超連結" xfId="505" builtinId="8" hidden="1"/>
    <cellStyle name="超連結" xfId="507" builtinId="8" hidden="1"/>
    <cellStyle name="超連結" xfId="509" builtinId="8" hidden="1"/>
    <cellStyle name="超連結" xfId="511" builtinId="8" hidden="1"/>
    <cellStyle name="超連結" xfId="513" builtinId="8" hidden="1"/>
    <cellStyle name="超連結" xfId="515" builtinId="8" hidden="1"/>
    <cellStyle name="超連結" xfId="517" builtinId="8" hidden="1"/>
    <cellStyle name="超連結" xfId="519" builtinId="8" hidden="1"/>
    <cellStyle name="超連結" xfId="521" builtinId="8" hidden="1"/>
    <cellStyle name="超連結" xfId="523" builtinId="8" hidden="1"/>
    <cellStyle name="超連結" xfId="525" builtinId="8" hidden="1"/>
    <cellStyle name="超連結" xfId="527" builtinId="8" hidden="1"/>
    <cellStyle name="超連結" xfId="529" builtinId="8" hidden="1"/>
    <cellStyle name="超連結" xfId="531" builtinId="8" hidden="1"/>
    <cellStyle name="超連結" xfId="533" builtinId="8" hidden="1"/>
    <cellStyle name="超連結" xfId="535" builtinId="8" hidden="1"/>
    <cellStyle name="超連結" xfId="537" builtinId="8" hidden="1"/>
    <cellStyle name="超連結" xfId="539" builtinId="8" hidden="1"/>
    <cellStyle name="超連結" xfId="541" builtinId="8" hidden="1"/>
    <cellStyle name="超連結" xfId="543" builtinId="8" hidden="1"/>
    <cellStyle name="超連結" xfId="545" builtinId="8" hidden="1"/>
    <cellStyle name="超連結" xfId="547" builtinId="8" hidden="1"/>
    <cellStyle name="超連結" xfId="549" builtinId="8" hidden="1"/>
    <cellStyle name="超連結" xfId="551" builtinId="8" hidden="1"/>
    <cellStyle name="超連結" xfId="553" builtinId="8" hidden="1"/>
    <cellStyle name="超連結" xfId="555" builtinId="8" hidden="1"/>
    <cellStyle name="超連結" xfId="557" builtinId="8" hidden="1"/>
    <cellStyle name="超連結" xfId="559" builtinId="8" hidden="1"/>
    <cellStyle name="超連結" xfId="561" builtinId="8" hidden="1"/>
    <cellStyle name="超連結" xfId="563" builtinId="8" hidden="1"/>
    <cellStyle name="超連結" xfId="565" builtinId="8" hidden="1"/>
    <cellStyle name="超連結" xfId="567" builtinId="8" hidden="1"/>
    <cellStyle name="超連結" xfId="569" builtinId="8" hidden="1"/>
    <cellStyle name="超連結" xfId="571" builtinId="8" hidden="1"/>
    <cellStyle name="超連結" xfId="573" builtinId="8" hidden="1"/>
    <cellStyle name="超連結" xfId="575" builtinId="8" hidden="1"/>
    <cellStyle name="超連結" xfId="577" builtinId="8" hidden="1"/>
    <cellStyle name="超連結" xfId="579" builtinId="8" hidden="1"/>
    <cellStyle name="超連結" xfId="581" builtinId="8" hidden="1"/>
    <cellStyle name="超連結" xfId="583" builtinId="8" hidden="1"/>
    <cellStyle name="超連結" xfId="585" builtinId="8" hidden="1"/>
    <cellStyle name="超連結" xfId="587" builtinId="8" hidden="1"/>
    <cellStyle name="超連結" xfId="589" builtinId="8" hidden="1"/>
    <cellStyle name="超連結" xfId="591" builtinId="8" hidden="1"/>
    <cellStyle name="超連結" xfId="593" builtinId="8" hidden="1"/>
    <cellStyle name="超連結" xfId="595" builtinId="8" hidden="1"/>
    <cellStyle name="超連結" xfId="597" builtinId="8" hidden="1"/>
    <cellStyle name="超連結" xfId="599" builtinId="8" hidden="1"/>
    <cellStyle name="超連結" xfId="601" builtinId="8" hidden="1"/>
    <cellStyle name="超連結" xfId="603" builtinId="8" hidden="1"/>
    <cellStyle name="超連結" xfId="605" builtinId="8" hidden="1"/>
    <cellStyle name="超連結" xfId="607" builtinId="8" hidden="1"/>
    <cellStyle name="超連結" xfId="609" builtinId="8" hidden="1"/>
    <cellStyle name="超連結" xfId="611" builtinId="8" hidden="1"/>
    <cellStyle name="超連結" xfId="613" builtinId="8" hidden="1"/>
    <cellStyle name="超連結" xfId="615" builtinId="8" hidden="1"/>
    <cellStyle name="超連結" xfId="617" builtinId="8" hidden="1"/>
    <cellStyle name="超連結" xfId="619" builtinId="8" hidden="1"/>
    <cellStyle name="超連結" xfId="621" builtinId="8" hidden="1"/>
    <cellStyle name="超連結" xfId="623" builtinId="8" hidden="1"/>
    <cellStyle name="超連結" xfId="625" builtinId="8" hidden="1"/>
    <cellStyle name="超連結" xfId="627" builtinId="8" hidden="1"/>
    <cellStyle name="超連結" xfId="629" builtinId="8" hidden="1"/>
    <cellStyle name="超連結" xfId="631" builtinId="8" hidden="1"/>
    <cellStyle name="超連結" xfId="633" builtinId="8" hidden="1"/>
    <cellStyle name="超連結" xfId="635" builtinId="8" hidden="1"/>
    <cellStyle name="超連結" xfId="637" builtinId="8" hidden="1"/>
    <cellStyle name="超連結" xfId="639" builtinId="8" hidden="1"/>
    <cellStyle name="超連結" xfId="641" builtinId="8" hidden="1"/>
    <cellStyle name="超連結" xfId="643" builtinId="8" hidden="1"/>
    <cellStyle name="超連結" xfId="645" builtinId="8" hidden="1"/>
    <cellStyle name="超連結" xfId="647" builtinId="8" hidden="1"/>
    <cellStyle name="超連結" xfId="649" builtinId="8" hidden="1"/>
    <cellStyle name="超連結" xfId="651" builtinId="8" hidden="1"/>
    <cellStyle name="超連結" xfId="653" builtinId="8" hidden="1"/>
    <cellStyle name="超連結" xfId="655" builtinId="8" hidden="1"/>
    <cellStyle name="超連結" xfId="657" builtinId="8" hidden="1"/>
    <cellStyle name="超連結" xfId="659" builtinId="8" hidden="1"/>
    <cellStyle name="超連結" xfId="661" builtinId="8" hidden="1"/>
    <cellStyle name="超連結" xfId="663" builtinId="8" hidden="1"/>
    <cellStyle name="超連結" xfId="665" builtinId="8" hidden="1"/>
    <cellStyle name="超連結" xfId="667" builtinId="8" hidden="1"/>
    <cellStyle name="超連結" xfId="669" builtinId="8" hidden="1"/>
    <cellStyle name="超連結" xfId="671" builtinId="8" hidden="1"/>
    <cellStyle name="超連結" xfId="673" builtinId="8" hidden="1"/>
    <cellStyle name="超連結" xfId="675" builtinId="8" hidden="1"/>
    <cellStyle name="超連結" xfId="677" builtinId="8" hidden="1"/>
    <cellStyle name="超連結" xfId="679" builtinId="8" hidden="1"/>
    <cellStyle name="超連結" xfId="681" builtinId="8" hidden="1"/>
    <cellStyle name="超連結" xfId="683" builtinId="8" hidden="1"/>
    <cellStyle name="超連結" xfId="685" builtinId="8" hidden="1"/>
    <cellStyle name="超連結" xfId="687" builtinId="8" hidden="1"/>
    <cellStyle name="超連結" xfId="689" builtinId="8" hidden="1"/>
    <cellStyle name="超連結" xfId="691" builtinId="8" hidden="1"/>
    <cellStyle name="超連結" xfId="693" builtinId="8" hidden="1"/>
    <cellStyle name="超連結" xfId="695" builtinId="8" hidden="1"/>
    <cellStyle name="超連結" xfId="697" builtinId="8" hidden="1"/>
    <cellStyle name="超連結" xfId="699" builtinId="8" hidden="1"/>
    <cellStyle name="超連結" xfId="701" builtinId="8" hidden="1"/>
    <cellStyle name="超連結" xfId="703" builtinId="8" hidden="1"/>
    <cellStyle name="超連結" xfId="705" builtinId="8" hidden="1"/>
    <cellStyle name="超連結" xfId="707" builtinId="8" hidden="1"/>
    <cellStyle name="超連結" xfId="709" builtinId="8" hidden="1"/>
    <cellStyle name="超連結" xfId="711" builtinId="8" hidden="1"/>
    <cellStyle name="超連結" xfId="713" builtinId="8" hidden="1"/>
    <cellStyle name="超連結" xfId="715" builtinId="8" hidden="1"/>
    <cellStyle name="超連結" xfId="717" builtinId="8" hidden="1"/>
    <cellStyle name="超連結" xfId="719" builtinId="8" hidden="1"/>
    <cellStyle name="超連結" xfId="721" builtinId="8" hidden="1"/>
    <cellStyle name="超連結" xfId="723" builtinId="8" hidden="1"/>
    <cellStyle name="超連結" xfId="725" builtinId="8" hidden="1"/>
    <cellStyle name="超連結" xfId="727" builtinId="8" hidden="1"/>
    <cellStyle name="超連結" xfId="729" builtinId="8" hidden="1"/>
    <cellStyle name="超連結" xfId="731" builtinId="8" hidden="1"/>
    <cellStyle name="超連結" xfId="733" builtinId="8" hidden="1"/>
    <cellStyle name="超連結" xfId="735" builtinId="8" hidden="1"/>
    <cellStyle name="超連結" xfId="737" builtinId="8" hidden="1"/>
    <cellStyle name="超連結" xfId="739" builtinId="8" hidden="1"/>
    <cellStyle name="超連結" xfId="741" builtinId="8" hidden="1"/>
    <cellStyle name="超連結" xfId="743" builtinId="8" hidden="1"/>
    <cellStyle name="超連結" xfId="745" builtinId="8" hidden="1"/>
    <cellStyle name="超連結" xfId="747" builtinId="8" hidden="1"/>
    <cellStyle name="超連結" xfId="749" builtinId="8" hidden="1"/>
    <cellStyle name="超連結" xfId="751" builtinId="8" hidden="1"/>
    <cellStyle name="超連結" xfId="753" builtinId="8" hidden="1"/>
    <cellStyle name="超連結" xfId="755" builtinId="8" hidden="1"/>
    <cellStyle name="超連結" xfId="757" builtinId="8" hidden="1"/>
    <cellStyle name="超連結" xfId="759" builtinId="8" hidden="1"/>
    <cellStyle name="超連結" xfId="761" builtinId="8" hidden="1"/>
    <cellStyle name="超連結" xfId="763" builtinId="8" hidden="1"/>
    <cellStyle name="超連結" xfId="765" builtinId="8" hidden="1"/>
    <cellStyle name="超連結" xfId="767" builtinId="8" hidden="1"/>
    <cellStyle name="超連結" xfId="769" builtinId="8" hidden="1"/>
    <cellStyle name="超連結" xfId="771" builtinId="8" hidden="1"/>
    <cellStyle name="超連結" xfId="773" builtinId="8" hidden="1"/>
    <cellStyle name="超連結" xfId="775" builtinId="8" hidden="1"/>
    <cellStyle name="超連結" xfId="777" builtinId="8" hidden="1"/>
    <cellStyle name="超連結" xfId="779" builtinId="8" hidden="1"/>
    <cellStyle name="超連結" xfId="781" builtinId="8" hidden="1"/>
    <cellStyle name="超連結" xfId="783" builtinId="8" hidden="1"/>
    <cellStyle name="超連結" xfId="785" builtinId="8" hidden="1"/>
    <cellStyle name="超連結" xfId="787" builtinId="8" hidden="1"/>
    <cellStyle name="超連結" xfId="789" builtinId="8" hidden="1"/>
    <cellStyle name="超連結" xfId="791" builtinId="8" hidden="1"/>
    <cellStyle name="超連結" xfId="793" builtinId="8" hidden="1"/>
    <cellStyle name="超連結" xfId="795" builtinId="8" hidden="1"/>
    <cellStyle name="超連結" xfId="797" builtinId="8" hidden="1"/>
    <cellStyle name="超連結" xfId="799" builtinId="8" hidden="1"/>
    <cellStyle name="超連結" xfId="801" builtinId="8" hidden="1"/>
    <cellStyle name="超連結" xfId="803" builtinId="8" hidden="1"/>
    <cellStyle name="超連結" xfId="805" builtinId="8" hidden="1"/>
    <cellStyle name="超連結" xfId="807" builtinId="8" hidden="1"/>
    <cellStyle name="超連結" xfId="809" builtinId="8" hidden="1"/>
    <cellStyle name="超連結" xfId="811" builtinId="8" hidden="1"/>
    <cellStyle name="超連結" xfId="813" builtinId="8" hidden="1"/>
    <cellStyle name="超連結" xfId="815" builtinId="8" hidden="1"/>
    <cellStyle name="超連結" xfId="817" builtinId="8" hidden="1"/>
    <cellStyle name="超連結" xfId="819" builtinId="8" hidden="1"/>
    <cellStyle name="超連結" xfId="821" builtinId="8" hidden="1"/>
    <cellStyle name="超連結" xfId="823" builtinId="8" hidden="1"/>
    <cellStyle name="超連結" xfId="825" builtinId="8" hidden="1"/>
    <cellStyle name="超連結" xfId="827" builtinId="8" hidden="1"/>
    <cellStyle name="超連結" xfId="829" builtinId="8" hidden="1"/>
    <cellStyle name="超連結" xfId="831" builtinId="8" hidden="1"/>
    <cellStyle name="超連結" xfId="833" builtinId="8" hidden="1"/>
    <cellStyle name="超連結" xfId="835" builtinId="8" hidden="1"/>
    <cellStyle name="超連結" xfId="837" builtinId="8" hidden="1"/>
    <cellStyle name="超連結" xfId="839" builtinId="8" hidden="1"/>
    <cellStyle name="超連結" xfId="841" builtinId="8" hidden="1"/>
    <cellStyle name="超連結" xfId="843" builtinId="8" hidden="1"/>
    <cellStyle name="超連結" xfId="845" builtinId="8" hidden="1"/>
    <cellStyle name="超連結" xfId="847" builtinId="8" hidden="1"/>
    <cellStyle name="超連結" xfId="849" builtinId="8" hidden="1"/>
    <cellStyle name="超連結" xfId="851" builtinId="8" hidden="1"/>
    <cellStyle name="超連結" xfId="853" builtinId="8" hidden="1"/>
    <cellStyle name="超連結" xfId="855" builtinId="8" hidden="1"/>
    <cellStyle name="超連結" xfId="857" builtinId="8" hidden="1"/>
    <cellStyle name="超連結" xfId="859" builtinId="8" hidden="1"/>
    <cellStyle name="超連結" xfId="861" builtinId="8" hidden="1"/>
    <cellStyle name="超連結" xfId="863" builtinId="8" hidden="1"/>
    <cellStyle name="超連結" xfId="865" builtinId="8" hidden="1"/>
    <cellStyle name="超連結" xfId="867" builtinId="8" hidden="1"/>
    <cellStyle name="超連結" xfId="869" builtinId="8" hidden="1"/>
    <cellStyle name="超連結" xfId="871" builtinId="8" hidden="1"/>
    <cellStyle name="超連結" xfId="873" builtinId="8" hidden="1"/>
    <cellStyle name="超連結" xfId="875" builtinId="8" hidden="1"/>
    <cellStyle name="超連結" xfId="877" builtinId="8" hidden="1"/>
    <cellStyle name="超連結" xfId="879" builtinId="8" hidden="1"/>
    <cellStyle name="超連結" xfId="881" builtinId="8" hidden="1"/>
    <cellStyle name="超連結" xfId="883" builtinId="8" hidden="1"/>
    <cellStyle name="超連結" xfId="885" builtinId="8" hidden="1"/>
    <cellStyle name="超連結" xfId="887" builtinId="8" hidden="1"/>
    <cellStyle name="超連結" xfId="889" builtinId="8" hidden="1"/>
    <cellStyle name="超連結" xfId="891" builtinId="8" hidden="1"/>
    <cellStyle name="超連結" xfId="893" builtinId="8" hidden="1"/>
    <cellStyle name="超連結" xfId="895" builtinId="8" hidden="1"/>
    <cellStyle name="超連結" xfId="897" builtinId="8" hidden="1"/>
    <cellStyle name="超連結" xfId="899" builtinId="8" hidden="1"/>
    <cellStyle name="超連結" xfId="901" builtinId="8" hidden="1"/>
    <cellStyle name="超連結" xfId="903" builtinId="8" hidden="1"/>
    <cellStyle name="超連結" xfId="905" builtinId="8" hidden="1"/>
    <cellStyle name="超連結" xfId="907" builtinId="8" hidden="1"/>
    <cellStyle name="超連結" xfId="909" builtinId="8" hidden="1"/>
    <cellStyle name="超連結" xfId="911" builtinId="8" hidden="1"/>
    <cellStyle name="超連結" xfId="913" builtinId="8" hidden="1"/>
    <cellStyle name="超連結" xfId="915" builtinId="8" hidden="1"/>
    <cellStyle name="超連結" xfId="917" builtinId="8" hidden="1"/>
    <cellStyle name="超連結" xfId="919" builtinId="8" hidden="1"/>
    <cellStyle name="超連結" xfId="921" builtinId="8" hidden="1"/>
    <cellStyle name="超連結" xfId="923" builtinId="8" hidden="1"/>
    <cellStyle name="超連結" xfId="925" builtinId="8" hidden="1"/>
    <cellStyle name="超連結" xfId="927" builtinId="8" hidden="1"/>
    <cellStyle name="超連結" xfId="929" builtinId="8" hidden="1"/>
    <cellStyle name="超連結" xfId="931" builtinId="8" hidden="1"/>
    <cellStyle name="超連結" xfId="933" builtinId="8" hidden="1"/>
    <cellStyle name="超連結" xfId="935" builtinId="8" hidden="1"/>
    <cellStyle name="超連結" xfId="937" builtinId="8" hidden="1"/>
    <cellStyle name="超連結" xfId="939" builtinId="8" hidden="1"/>
    <cellStyle name="超連結" xfId="941" builtinId="8" hidden="1"/>
    <cellStyle name="超連結" xfId="943" builtinId="8" hidden="1"/>
    <cellStyle name="超連結" xfId="945" builtinId="8" hidden="1"/>
    <cellStyle name="超連結" xfId="947" builtinId="8" hidden="1"/>
    <cellStyle name="超連結" xfId="949" builtinId="8" hidden="1"/>
    <cellStyle name="超連結" xfId="951" builtinId="8" hidden="1"/>
    <cellStyle name="超連結" xfId="953" builtinId="8" hidden="1"/>
    <cellStyle name="超連結" xfId="955" builtinId="8" hidden="1"/>
    <cellStyle name="超連結" xfId="957" builtinId="8" hidden="1"/>
    <cellStyle name="超連結" xfId="959" builtinId="8" hidden="1"/>
    <cellStyle name="超連結" xfId="961" builtinId="8" hidden="1"/>
    <cellStyle name="超連結" xfId="963" builtinId="8" hidden="1"/>
    <cellStyle name="超連結" xfId="965" builtinId="8" hidden="1"/>
    <cellStyle name="超連結" xfId="967" builtinId="8" hidden="1"/>
    <cellStyle name="超連結" xfId="969" builtinId="8" hidden="1"/>
    <cellStyle name="超連結" xfId="971" builtinId="8" hidden="1"/>
    <cellStyle name="超連結" xfId="973" builtinId="8" hidden="1"/>
    <cellStyle name="超連結" xfId="975" builtinId="8" hidden="1"/>
    <cellStyle name="超連結" xfId="977" builtinId="8" hidden="1"/>
    <cellStyle name="超連結" xfId="979" builtinId="8" hidden="1"/>
    <cellStyle name="超連結" xfId="981" builtinId="8" hidden="1"/>
    <cellStyle name="超連結" xfId="983" builtinId="8" hidden="1"/>
    <cellStyle name="超連結" xfId="985" builtinId="8" hidden="1"/>
    <cellStyle name="超連結" xfId="987" builtinId="8" hidden="1"/>
    <cellStyle name="超連結" xfId="989" builtinId="8" hidden="1"/>
    <cellStyle name="超連結" xfId="991" builtinId="8" hidden="1"/>
    <cellStyle name="超連結" xfId="993" builtinId="8" hidden="1"/>
    <cellStyle name="超連結" xfId="995" builtinId="8" hidden="1"/>
    <cellStyle name="超連結" xfId="997" builtinId="8" hidden="1"/>
    <cellStyle name="超連結" xfId="999" builtinId="8" hidden="1"/>
    <cellStyle name="超連結" xfId="1001" builtinId="8" hidden="1"/>
    <cellStyle name="超連結" xfId="1003" builtinId="8" hidden="1"/>
    <cellStyle name="超連結" xfId="1005" builtinId="8" hidden="1"/>
    <cellStyle name="超連結" xfId="1007" builtinId="8" hidden="1"/>
    <cellStyle name="超連結" xfId="1009" builtinId="8" hidden="1"/>
    <cellStyle name="超連結" xfId="1011" builtinId="8" hidden="1"/>
    <cellStyle name="超連結" xfId="1013" builtinId="8" hidden="1"/>
    <cellStyle name="超連結" xfId="1015" builtinId="8" hidden="1"/>
    <cellStyle name="超連結" xfId="1017" builtinId="8" hidden="1"/>
    <cellStyle name="超連結" xfId="1019" builtinId="8" hidden="1"/>
    <cellStyle name="超連結" xfId="1021" builtinId="8" hidden="1"/>
    <cellStyle name="超連結" xfId="1023" builtinId="8" hidden="1"/>
    <cellStyle name="超連結" xfId="1025" builtinId="8" hidden="1"/>
    <cellStyle name="超連結" xfId="1027" builtinId="8" hidden="1"/>
    <cellStyle name="超連結" xfId="1029" builtinId="8" hidden="1"/>
    <cellStyle name="超連結" xfId="1031" builtinId="8" hidden="1"/>
    <cellStyle name="超連結" xfId="1033" builtinId="8" hidden="1"/>
    <cellStyle name="超連結" xfId="1035" builtinId="8" hidden="1"/>
    <cellStyle name="超連結" xfId="1037" builtinId="8" hidden="1"/>
    <cellStyle name="超連結" xfId="1039" builtinId="8" hidden="1"/>
    <cellStyle name="超連結" xfId="1041" builtinId="8" hidden="1"/>
    <cellStyle name="超連結" xfId="1043" builtinId="8" hidden="1"/>
    <cellStyle name="超連結" xfId="1045" builtinId="8" hidden="1"/>
    <cellStyle name="超連結" xfId="1047" builtinId="8" hidden="1"/>
    <cellStyle name="超連結" xfId="1049" builtinId="8" hidden="1"/>
    <cellStyle name="超連結" xfId="1051" builtinId="8" hidden="1"/>
    <cellStyle name="超連結" xfId="1053" builtinId="8" hidden="1"/>
    <cellStyle name="超連結" xfId="1055" builtinId="8" hidden="1"/>
    <cellStyle name="超連結" xfId="1057" builtinId="8" hidden="1"/>
    <cellStyle name="超連結" xfId="1059" builtinId="8" hidden="1"/>
    <cellStyle name="超連結" xfId="1061" builtinId="8" hidden="1"/>
    <cellStyle name="超連結" xfId="1063" builtinId="8" hidden="1"/>
    <cellStyle name="超連結" xfId="1065" builtinId="8" hidden="1"/>
    <cellStyle name="超連結" xfId="1067" builtinId="8" hidden="1"/>
    <cellStyle name="超連結" xfId="1069" builtinId="8" hidden="1"/>
    <cellStyle name="超連結" xfId="1071" builtinId="8" hidden="1"/>
    <cellStyle name="超連結" xfId="1073" builtinId="8" hidden="1"/>
    <cellStyle name="超連結" xfId="1075" builtinId="8" hidden="1"/>
    <cellStyle name="超連結" xfId="1077" builtinId="8" hidden="1"/>
    <cellStyle name="超連結" xfId="1079" builtinId="8" hidden="1"/>
    <cellStyle name="超連結" xfId="1081" builtinId="8" hidden="1"/>
    <cellStyle name="超連結" xfId="1083" builtinId="8" hidden="1"/>
    <cellStyle name="超連結" xfId="1085" builtinId="8" hidden="1"/>
    <cellStyle name="超連結" xfId="1087" builtinId="8" hidden="1"/>
    <cellStyle name="超連結" xfId="1089" builtinId="8" hidden="1"/>
    <cellStyle name="超連結" xfId="1091" builtinId="8" hidden="1"/>
    <cellStyle name="超連結" xfId="1093" builtinId="8" hidden="1"/>
    <cellStyle name="超連結" xfId="1095" builtinId="8" hidden="1"/>
    <cellStyle name="超連結" xfId="1097" builtinId="8" hidden="1"/>
    <cellStyle name="超連結" xfId="1099" builtinId="8" hidden="1"/>
    <cellStyle name="超連結" xfId="1101" builtinId="8" hidden="1"/>
    <cellStyle name="超連結" xfId="1103" builtinId="8" hidden="1"/>
    <cellStyle name="超連結" xfId="1105" builtinId="8" hidden="1"/>
    <cellStyle name="超連結" xfId="1107" builtinId="8" hidden="1"/>
    <cellStyle name="超連結" xfId="1109" builtinId="8" hidden="1"/>
    <cellStyle name="超連結" xfId="1111" builtinId="8" hidden="1"/>
    <cellStyle name="超連結" xfId="1113" builtinId="8" hidden="1"/>
    <cellStyle name="超連結" xfId="1115" builtinId="8" hidden="1"/>
    <cellStyle name="超連結" xfId="1117" builtinId="8" hidden="1"/>
    <cellStyle name="超連結" xfId="1119" builtinId="8" hidden="1"/>
    <cellStyle name="超連結" xfId="1121" builtinId="8" hidden="1"/>
    <cellStyle name="超連結" xfId="1123" builtinId="8" hidden="1"/>
    <cellStyle name="超連結" xfId="1125" builtinId="8" hidden="1"/>
    <cellStyle name="超連結" xfId="1127" builtinId="8" hidden="1"/>
    <cellStyle name="超連結" xfId="1129" builtinId="8" hidden="1"/>
    <cellStyle name="超連結" xfId="1131" builtinId="8" hidden="1"/>
    <cellStyle name="超連結" xfId="1133" builtinId="8" hidden="1"/>
    <cellStyle name="超連結" xfId="1135" builtinId="8" hidden="1"/>
    <cellStyle name="超連結" xfId="1137" builtinId="8" hidden="1"/>
    <cellStyle name="超連結" xfId="1139" builtinId="8" hidden="1"/>
    <cellStyle name="超連結" xfId="1141" builtinId="8" hidden="1"/>
    <cellStyle name="超連結" xfId="1143" builtinId="8" hidden="1"/>
    <cellStyle name="超連結" xfId="1145" builtinId="8" hidden="1"/>
    <cellStyle name="超連結" xfId="1147" builtinId="8" hidden="1"/>
    <cellStyle name="超連結" xfId="1149" builtinId="8" hidden="1"/>
    <cellStyle name="超連結" xfId="1151" builtinId="8" hidden="1"/>
    <cellStyle name="超連結" xfId="1153" builtinId="8" hidden="1"/>
    <cellStyle name="超連結" xfId="1155" builtinId="8" hidden="1"/>
    <cellStyle name="超連結" xfId="1157" builtinId="8" hidden="1"/>
    <cellStyle name="超連結" xfId="1159" builtinId="8" hidden="1"/>
    <cellStyle name="超連結" xfId="1161" builtinId="8" hidden="1"/>
    <cellStyle name="超連結" xfId="1163" builtinId="8" hidden="1"/>
    <cellStyle name="超連結" xfId="1165" builtinId="8" hidden="1"/>
    <cellStyle name="超連結" xfId="1167" builtinId="8" hidden="1"/>
    <cellStyle name="超連結" xfId="1169" builtinId="8" hidden="1"/>
    <cellStyle name="超連結" xfId="1171" builtinId="8" hidden="1"/>
    <cellStyle name="超連結" xfId="1173" builtinId="8" hidden="1"/>
    <cellStyle name="超連結" xfId="1175" builtinId="8" hidden="1"/>
    <cellStyle name="超連結" xfId="1177" builtinId="8" hidden="1"/>
    <cellStyle name="超連結" xfId="1179" builtinId="8" hidden="1"/>
    <cellStyle name="超連結" xfId="1181" builtinId="8" hidden="1"/>
    <cellStyle name="超連結" xfId="1183" builtinId="8" hidden="1"/>
    <cellStyle name="超連結" xfId="1185" builtinId="8" hidden="1"/>
    <cellStyle name="超連結" xfId="1187" builtinId="8" hidden="1"/>
    <cellStyle name="超連結" xfId="1189" builtinId="8" hidden="1"/>
    <cellStyle name="超連結" xfId="1191" builtinId="8" hidden="1"/>
    <cellStyle name="超連結" xfId="1193" builtinId="8" hidden="1"/>
    <cellStyle name="超連結" xfId="1195" builtinId="8" hidden="1"/>
    <cellStyle name="超連結" xfId="1197" builtinId="8" hidden="1"/>
    <cellStyle name="超連結" xfId="1199" builtinId="8" hidden="1"/>
    <cellStyle name="超連結" xfId="1201" builtinId="8" hidden="1"/>
    <cellStyle name="超連結" xfId="1203" builtinId="8" hidden="1"/>
    <cellStyle name="超連結" xfId="1205" builtinId="8" hidden="1"/>
    <cellStyle name="超連結" xfId="1207" builtinId="8" hidden="1"/>
    <cellStyle name="超連結" xfId="1209" builtinId="8" hidden="1"/>
    <cellStyle name="超連結" xfId="1211" builtinId="8" hidden="1"/>
    <cellStyle name="超連結" xfId="1213" builtinId="8" hidden="1"/>
    <cellStyle name="超連結" xfId="1215" builtinId="8" hidden="1"/>
    <cellStyle name="超連結" xfId="1217" builtinId="8" hidden="1"/>
    <cellStyle name="超連結" xfId="1219" builtinId="8" hidden="1"/>
    <cellStyle name="超連結" xfId="1221" builtinId="8" hidden="1"/>
    <cellStyle name="超連結" xfId="1223" builtinId="8" hidden="1"/>
    <cellStyle name="超連結" xfId="1225" builtinId="8" hidden="1"/>
    <cellStyle name="超連結" xfId="1227" builtinId="8" hidden="1"/>
    <cellStyle name="超連結" xfId="1229" builtinId="8" hidden="1"/>
    <cellStyle name="超連結" xfId="1231" builtinId="8" hidden="1"/>
    <cellStyle name="超連結" xfId="1233" builtinId="8" hidden="1"/>
    <cellStyle name="超連結" xfId="1235" builtinId="8" hidden="1"/>
    <cellStyle name="超連結" xfId="1237" builtinId="8" hidden="1"/>
    <cellStyle name="超連結" xfId="1239" builtinId="8" hidden="1"/>
    <cellStyle name="超連結" xfId="1241" builtinId="8" hidden="1"/>
    <cellStyle name="超連結" xfId="1243" builtinId="8" hidden="1"/>
    <cellStyle name="超連結" xfId="1245" builtinId="8" hidden="1"/>
    <cellStyle name="超連結" xfId="1247" builtinId="8" hidden="1"/>
    <cellStyle name="超連結" xfId="1249" builtinId="8" hidden="1"/>
    <cellStyle name="超連結" xfId="1251" builtinId="8" hidden="1"/>
    <cellStyle name="超連結" xfId="1253" builtinId="8" hidden="1"/>
    <cellStyle name="超連結" xfId="1255" builtinId="8" hidden="1"/>
    <cellStyle name="超連結" xfId="1257" builtinId="8" hidden="1"/>
    <cellStyle name="超連結" xfId="1259" builtinId="8" hidden="1"/>
    <cellStyle name="超連結" xfId="1261" builtinId="8" hidden="1"/>
    <cellStyle name="超連結" xfId="1263" builtinId="8" hidden="1"/>
    <cellStyle name="超連結" xfId="1265" builtinId="8" hidden="1"/>
    <cellStyle name="超連結" xfId="1267" builtinId="8" hidden="1"/>
    <cellStyle name="超連結" xfId="1269" builtinId="8" hidden="1"/>
    <cellStyle name="超連結" xfId="1271" builtinId="8" hidden="1"/>
    <cellStyle name="超連結" xfId="1273" builtinId="8" hidden="1"/>
    <cellStyle name="超連結" xfId="1275" builtinId="8" hidden="1"/>
    <cellStyle name="超連結" xfId="1277" builtinId="8" hidden="1"/>
    <cellStyle name="超連結" xfId="1279" builtinId="8" hidden="1"/>
    <cellStyle name="超連結" xfId="1281" builtinId="8" hidden="1"/>
    <cellStyle name="超連結" xfId="1283" builtinId="8" hidden="1"/>
    <cellStyle name="超連結" xfId="1285" builtinId="8" hidden="1"/>
    <cellStyle name="超連結" xfId="1287" builtinId="8" hidden="1"/>
    <cellStyle name="超連結" xfId="1289" builtinId="8" hidden="1"/>
    <cellStyle name="超連結" xfId="1291" builtinId="8" hidden="1"/>
    <cellStyle name="超連結" xfId="1293" builtinId="8" hidden="1"/>
    <cellStyle name="超連結" xfId="1295" builtinId="8" hidden="1"/>
    <cellStyle name="超連結" xfId="1297" builtinId="8" hidden="1"/>
    <cellStyle name="超連結" xfId="1299" builtinId="8" hidden="1"/>
    <cellStyle name="超連結" xfId="1301" builtinId="8" hidden="1"/>
    <cellStyle name="超連結" xfId="1303" builtinId="8" hidden="1"/>
    <cellStyle name="超連結" xfId="1305" builtinId="8" hidden="1"/>
    <cellStyle name="超連結" xfId="1307" builtinId="8" hidden="1"/>
    <cellStyle name="超連結" xfId="1309" builtinId="8" hidden="1"/>
    <cellStyle name="超連結" xfId="1311" builtinId="8" hidden="1"/>
    <cellStyle name="超連結" xfId="1313" builtinId="8" hidden="1"/>
    <cellStyle name="超連結" xfId="1315" builtinId="8" hidden="1"/>
    <cellStyle name="超連結" xfId="1317" builtinId="8" hidden="1"/>
    <cellStyle name="超連結" xfId="1319" builtinId="8" hidden="1"/>
    <cellStyle name="超連結" xfId="1321" builtinId="8" hidden="1"/>
    <cellStyle name="超連結" xfId="1323" builtinId="8" hidden="1"/>
    <cellStyle name="超連結" xfId="1325" builtinId="8" hidden="1"/>
    <cellStyle name="超連結" xfId="1327" builtinId="8" hidden="1"/>
    <cellStyle name="超連結" xfId="1329" builtinId="8" hidden="1"/>
    <cellStyle name="超連結" xfId="1331" builtinId="8" hidden="1"/>
    <cellStyle name="超連結" xfId="1333" builtinId="8" hidden="1"/>
    <cellStyle name="超連結" xfId="1335" builtinId="8" hidden="1"/>
    <cellStyle name="超連結" xfId="1337" builtinId="8" hidden="1"/>
    <cellStyle name="超連結" xfId="1339" builtinId="8" hidden="1"/>
    <cellStyle name="超連結" xfId="1341" builtinId="8" hidden="1"/>
    <cellStyle name="超連結" xfId="1343" builtinId="8" hidden="1"/>
    <cellStyle name="超連結" xfId="1345" builtinId="8" hidden="1"/>
    <cellStyle name="超連結" xfId="1347" builtinId="8" hidden="1"/>
    <cellStyle name="超連結" xfId="1349" builtinId="8" hidden="1"/>
    <cellStyle name="超連結" xfId="1351" builtinId="8" hidden="1"/>
    <cellStyle name="超連結" xfId="1353" builtinId="8" hidden="1"/>
    <cellStyle name="超連結" xfId="1355" builtinId="8" hidden="1"/>
    <cellStyle name="超連結" xfId="1357" builtinId="8" hidden="1"/>
    <cellStyle name="超連結" xfId="1359" builtinId="8" hidden="1"/>
    <cellStyle name="超連結" xfId="1361" builtinId="8" hidden="1"/>
    <cellStyle name="超連結" xfId="1363" builtinId="8" hidden="1"/>
    <cellStyle name="超連結" xfId="1365" builtinId="8" hidden="1"/>
    <cellStyle name="超連結" xfId="1367" builtinId="8" hidden="1"/>
    <cellStyle name="超連結" xfId="1369" builtinId="8" hidden="1"/>
    <cellStyle name="超連結" xfId="1371" builtinId="8" hidden="1"/>
    <cellStyle name="超連結" xfId="1373" builtinId="8" hidden="1"/>
    <cellStyle name="超連結" xfId="1375" builtinId="8" hidden="1"/>
    <cellStyle name="超連結" xfId="1377" builtinId="8" hidden="1"/>
    <cellStyle name="超連結" xfId="1379" builtinId="8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"/>
  <sheetViews>
    <sheetView tabSelected="1" zoomScale="125" zoomScaleNormal="125" zoomScalePageLayoutView="125" workbookViewId="0">
      <pane xSplit="3" ySplit="2" topLeftCell="D18" activePane="bottomRight" state="frozen"/>
      <selection pane="topRight" activeCell="C1" sqref="C1"/>
      <selection pane="bottomLeft" activeCell="A3" sqref="A3"/>
      <selection pane="bottomRight" activeCell="Q1" sqref="Q1:Q1048576"/>
    </sheetView>
  </sheetViews>
  <sheetFormatPr baseColWidth="10" defaultColWidth="11" defaultRowHeight="15" x14ac:dyDescent="0"/>
  <cols>
    <col min="1" max="1" width="11" style="39"/>
    <col min="2" max="2" width="11" style="1"/>
    <col min="3" max="3" width="73.33203125" style="11" customWidth="1"/>
    <col min="4" max="4" width="6.5" style="6" hidden="1" customWidth="1"/>
    <col min="5" max="5" width="7.6640625" style="6" hidden="1" customWidth="1"/>
    <col min="6" max="6" width="7.5" style="15" hidden="1" customWidth="1"/>
    <col min="7" max="7" width="7.5" style="36" hidden="1" customWidth="1"/>
    <col min="8" max="8" width="6" style="17" hidden="1" customWidth="1"/>
    <col min="9" max="9" width="7.5" style="17" hidden="1" customWidth="1"/>
    <col min="10" max="10" width="8" style="24" hidden="1" customWidth="1"/>
    <col min="11" max="11" width="8" style="33" hidden="1" customWidth="1"/>
    <col min="12" max="12" width="5.5" style="17" hidden="1" customWidth="1"/>
    <col min="13" max="13" width="7.5" style="6" hidden="1" customWidth="1"/>
    <col min="14" max="14" width="7.33203125" style="24" hidden="1" customWidth="1"/>
    <col min="15" max="15" width="7.33203125" style="33" hidden="1" customWidth="1"/>
    <col min="16" max="16" width="11" style="9"/>
  </cols>
  <sheetData>
    <row r="1" spans="1:16" ht="15" customHeight="1">
      <c r="D1" s="47" t="s">
        <v>374</v>
      </c>
      <c r="E1" s="48"/>
      <c r="F1" s="48"/>
      <c r="G1" s="34" t="s">
        <v>375</v>
      </c>
      <c r="H1" s="49" t="s">
        <v>276</v>
      </c>
      <c r="I1" s="49"/>
      <c r="J1" s="49"/>
      <c r="K1" s="30"/>
      <c r="L1" s="49" t="s">
        <v>260</v>
      </c>
      <c r="M1" s="49"/>
      <c r="N1" s="49"/>
      <c r="O1" s="30"/>
    </row>
    <row r="2" spans="1:16">
      <c r="B2" s="28" t="s">
        <v>5</v>
      </c>
      <c r="C2" s="29" t="s">
        <v>0</v>
      </c>
      <c r="D2" s="21" t="s">
        <v>273</v>
      </c>
      <c r="E2" s="21" t="s">
        <v>274</v>
      </c>
      <c r="F2" s="22" t="s">
        <v>275</v>
      </c>
      <c r="G2" s="35"/>
      <c r="H2" s="21" t="s">
        <v>273</v>
      </c>
      <c r="I2" s="21" t="s">
        <v>274</v>
      </c>
      <c r="J2" s="22" t="s">
        <v>275</v>
      </c>
      <c r="K2" s="32"/>
      <c r="L2" s="21" t="s">
        <v>273</v>
      </c>
      <c r="M2" s="21" t="s">
        <v>274</v>
      </c>
      <c r="N2" s="22" t="s">
        <v>275</v>
      </c>
      <c r="O2" s="32"/>
      <c r="P2" s="37" t="s">
        <v>376</v>
      </c>
    </row>
    <row r="3" spans="1:16">
      <c r="A3" s="1" t="s">
        <v>91</v>
      </c>
      <c r="B3" s="1" t="s">
        <v>91</v>
      </c>
      <c r="C3" s="12" t="s">
        <v>11</v>
      </c>
      <c r="D3" s="6">
        <v>6</v>
      </c>
      <c r="E3" s="6">
        <v>6</v>
      </c>
      <c r="F3" s="15" t="str">
        <f>IF(D3=E3, "", "X")</f>
        <v/>
      </c>
      <c r="G3" s="36">
        <f t="shared" ref="G3:G66" si="0">IF(D3=E3,E3, F3)</f>
        <v>6</v>
      </c>
      <c r="I3" s="17" t="s">
        <v>285</v>
      </c>
      <c r="J3" s="15" t="s">
        <v>320</v>
      </c>
      <c r="K3" s="36" t="str">
        <f>IF(H3=I3,I3, J3)</f>
        <v>N</v>
      </c>
      <c r="L3" s="20" t="s">
        <v>308</v>
      </c>
      <c r="M3" s="6" t="s">
        <v>288</v>
      </c>
      <c r="N3" s="15" t="str">
        <f t="shared" ref="N3:N20" si="1">IF(L3=M3, "", "X")</f>
        <v/>
      </c>
      <c r="O3" s="36"/>
      <c r="P3" s="9">
        <v>6</v>
      </c>
    </row>
    <row r="4" spans="1:16">
      <c r="A4" s="39" t="s">
        <v>378</v>
      </c>
      <c r="B4" s="1" t="s">
        <v>10</v>
      </c>
      <c r="C4" s="12" t="s">
        <v>13</v>
      </c>
      <c r="D4" s="6">
        <v>3</v>
      </c>
      <c r="E4" s="6">
        <v>3</v>
      </c>
      <c r="F4" s="15" t="str">
        <f>IF(D4=E4, "", "X")</f>
        <v/>
      </c>
      <c r="G4" s="36">
        <f t="shared" si="0"/>
        <v>3</v>
      </c>
      <c r="I4" s="17" t="s">
        <v>280</v>
      </c>
      <c r="J4" s="15" t="s">
        <v>302</v>
      </c>
      <c r="K4" s="36" t="str">
        <f t="shared" ref="K4:K67" si="2">IF(H4=I4,I4, J4)</f>
        <v>R</v>
      </c>
      <c r="L4" s="6" t="s">
        <v>262</v>
      </c>
      <c r="M4" s="6" t="s">
        <v>308</v>
      </c>
      <c r="N4" s="15" t="str">
        <f t="shared" si="1"/>
        <v/>
      </c>
      <c r="O4" s="36"/>
      <c r="P4" s="9">
        <v>3</v>
      </c>
    </row>
    <row r="5" spans="1:16">
      <c r="A5" s="1" t="s">
        <v>91</v>
      </c>
      <c r="B5" s="1" t="s">
        <v>91</v>
      </c>
      <c r="C5" s="11" t="s">
        <v>12</v>
      </c>
      <c r="D5" s="6">
        <v>6</v>
      </c>
      <c r="E5" s="6">
        <v>6</v>
      </c>
      <c r="F5" s="15" t="str">
        <f>IF(D5=E5, "", "X")</f>
        <v/>
      </c>
      <c r="G5" s="36">
        <f t="shared" si="0"/>
        <v>6</v>
      </c>
      <c r="I5" s="17" t="s">
        <v>285</v>
      </c>
      <c r="J5" s="15" t="s">
        <v>320</v>
      </c>
      <c r="K5" s="36" t="str">
        <f t="shared" si="2"/>
        <v>N</v>
      </c>
      <c r="L5" s="6" t="s">
        <v>308</v>
      </c>
      <c r="M5" s="6" t="s">
        <v>308</v>
      </c>
      <c r="N5" s="15" t="str">
        <f t="shared" si="1"/>
        <v/>
      </c>
      <c r="O5" s="36"/>
      <c r="P5" s="9">
        <v>6</v>
      </c>
    </row>
    <row r="6" spans="1:16">
      <c r="A6" s="39" t="s">
        <v>378</v>
      </c>
      <c r="B6" s="1" t="s">
        <v>10</v>
      </c>
      <c r="C6" s="12" t="s">
        <v>14</v>
      </c>
      <c r="D6" s="6">
        <v>8</v>
      </c>
      <c r="E6" s="6">
        <v>9</v>
      </c>
      <c r="F6" s="15">
        <v>8</v>
      </c>
      <c r="G6" s="36">
        <f t="shared" si="0"/>
        <v>8</v>
      </c>
      <c r="H6" s="17" t="s">
        <v>277</v>
      </c>
      <c r="I6" s="17" t="s">
        <v>280</v>
      </c>
      <c r="J6" s="15" t="s">
        <v>294</v>
      </c>
      <c r="K6" s="36" t="str">
        <f t="shared" si="2"/>
        <v>W</v>
      </c>
      <c r="L6" s="6" t="s">
        <v>262</v>
      </c>
      <c r="M6" s="6" t="s">
        <v>308</v>
      </c>
      <c r="N6" s="15" t="str">
        <f t="shared" si="1"/>
        <v/>
      </c>
      <c r="O6" s="36"/>
      <c r="P6" s="9">
        <v>8</v>
      </c>
    </row>
    <row r="7" spans="1:16">
      <c r="A7" s="1" t="s">
        <v>91</v>
      </c>
      <c r="B7" s="1" t="s">
        <v>91</v>
      </c>
      <c r="C7" s="12" t="s">
        <v>15</v>
      </c>
      <c r="D7" s="6">
        <v>7</v>
      </c>
      <c r="E7" s="6">
        <v>7</v>
      </c>
      <c r="F7" s="15" t="str">
        <f t="shared" ref="F7:F12" si="3">IF(D7=E7, "", "X")</f>
        <v/>
      </c>
      <c r="G7" s="36">
        <f t="shared" si="0"/>
        <v>7</v>
      </c>
      <c r="H7" s="17" t="s">
        <v>277</v>
      </c>
      <c r="I7" s="17" t="s">
        <v>285</v>
      </c>
      <c r="J7" s="15" t="s">
        <v>294</v>
      </c>
      <c r="K7" s="36" t="str">
        <f t="shared" si="2"/>
        <v>W</v>
      </c>
      <c r="L7" s="6" t="s">
        <v>262</v>
      </c>
      <c r="M7" s="6" t="s">
        <v>308</v>
      </c>
      <c r="N7" s="15" t="str">
        <f t="shared" si="1"/>
        <v/>
      </c>
      <c r="O7" s="36"/>
      <c r="P7" s="9">
        <v>7</v>
      </c>
    </row>
    <row r="8" spans="1:16">
      <c r="A8" s="39" t="s">
        <v>378</v>
      </c>
      <c r="B8" s="1" t="s">
        <v>10</v>
      </c>
      <c r="C8" s="12" t="s">
        <v>16</v>
      </c>
      <c r="D8" s="6">
        <v>7</v>
      </c>
      <c r="E8" s="6">
        <v>7</v>
      </c>
      <c r="F8" s="15" t="str">
        <f t="shared" si="3"/>
        <v/>
      </c>
      <c r="G8" s="36">
        <f t="shared" si="0"/>
        <v>7</v>
      </c>
      <c r="H8" s="17" t="s">
        <v>277</v>
      </c>
      <c r="I8" s="17" t="s">
        <v>292</v>
      </c>
      <c r="J8" s="15" t="s">
        <v>294</v>
      </c>
      <c r="K8" s="36" t="str">
        <f t="shared" si="2"/>
        <v>W</v>
      </c>
      <c r="L8" s="6" t="s">
        <v>262</v>
      </c>
      <c r="M8" s="6" t="s">
        <v>308</v>
      </c>
      <c r="N8" s="15" t="str">
        <f t="shared" si="1"/>
        <v/>
      </c>
      <c r="O8" s="36"/>
      <c r="P8" s="9">
        <v>7</v>
      </c>
    </row>
    <row r="9" spans="1:16">
      <c r="A9" s="39" t="s">
        <v>378</v>
      </c>
      <c r="B9" s="1" t="s">
        <v>10</v>
      </c>
      <c r="C9" s="12" t="s">
        <v>17</v>
      </c>
      <c r="D9" s="6">
        <v>7</v>
      </c>
      <c r="E9" s="6">
        <v>7</v>
      </c>
      <c r="F9" s="15" t="str">
        <f t="shared" si="3"/>
        <v/>
      </c>
      <c r="G9" s="36">
        <f t="shared" si="0"/>
        <v>7</v>
      </c>
      <c r="H9" s="17" t="s">
        <v>278</v>
      </c>
      <c r="I9" s="17" t="s">
        <v>280</v>
      </c>
      <c r="J9" s="15" t="s">
        <v>293</v>
      </c>
      <c r="K9" s="36" t="str">
        <f t="shared" si="2"/>
        <v>I</v>
      </c>
      <c r="L9" s="6" t="s">
        <v>262</v>
      </c>
      <c r="M9" s="6" t="s">
        <v>308</v>
      </c>
      <c r="N9" s="15" t="str">
        <f t="shared" si="1"/>
        <v/>
      </c>
      <c r="O9" s="36"/>
      <c r="P9" s="9">
        <v>7</v>
      </c>
    </row>
    <row r="10" spans="1:16">
      <c r="A10" s="1" t="s">
        <v>91</v>
      </c>
      <c r="B10" s="1" t="s">
        <v>91</v>
      </c>
      <c r="C10" s="12" t="s">
        <v>18</v>
      </c>
      <c r="D10" s="14">
        <v>6</v>
      </c>
      <c r="E10" s="14">
        <v>6</v>
      </c>
      <c r="F10" s="15" t="str">
        <f t="shared" si="3"/>
        <v/>
      </c>
      <c r="G10" s="36">
        <f t="shared" si="0"/>
        <v>6</v>
      </c>
      <c r="H10" s="17" t="s">
        <v>267</v>
      </c>
      <c r="I10" s="17" t="s">
        <v>280</v>
      </c>
      <c r="J10" s="15" t="s">
        <v>280</v>
      </c>
      <c r="K10" s="36" t="str">
        <f>IF(H10=I10,I10, J10)</f>
        <v>R</v>
      </c>
      <c r="L10" s="6" t="s">
        <v>262</v>
      </c>
      <c r="M10" s="6" t="s">
        <v>308</v>
      </c>
      <c r="N10" s="15" t="str">
        <f t="shared" si="1"/>
        <v/>
      </c>
      <c r="O10" s="36"/>
      <c r="P10" s="9">
        <v>6</v>
      </c>
    </row>
    <row r="11" spans="1:16">
      <c r="A11" s="1" t="s">
        <v>91</v>
      </c>
      <c r="B11" s="1" t="s">
        <v>91</v>
      </c>
      <c r="C11" s="12" t="s">
        <v>19</v>
      </c>
      <c r="D11" s="14">
        <v>7</v>
      </c>
      <c r="E11" s="14">
        <v>7</v>
      </c>
      <c r="F11" s="15" t="str">
        <f t="shared" si="3"/>
        <v/>
      </c>
      <c r="G11" s="36">
        <f t="shared" si="0"/>
        <v>7</v>
      </c>
      <c r="H11" s="17" t="s">
        <v>278</v>
      </c>
      <c r="I11" s="17" t="s">
        <v>285</v>
      </c>
      <c r="J11" s="15" t="str">
        <f t="shared" ref="J11:J13" si="4">IF(H11=I11, "", "X")</f>
        <v/>
      </c>
      <c r="K11" s="36" t="str">
        <f t="shared" si="2"/>
        <v>I</v>
      </c>
      <c r="L11" s="6" t="s">
        <v>262</v>
      </c>
      <c r="M11" s="6" t="s">
        <v>308</v>
      </c>
      <c r="N11" s="15" t="str">
        <f t="shared" si="1"/>
        <v/>
      </c>
      <c r="O11" s="36"/>
      <c r="P11" s="9">
        <v>7</v>
      </c>
    </row>
    <row r="12" spans="1:16">
      <c r="A12" s="1" t="s">
        <v>3</v>
      </c>
      <c r="B12" s="1" t="s">
        <v>8</v>
      </c>
      <c r="C12" s="12" t="s">
        <v>20</v>
      </c>
      <c r="D12" s="14">
        <v>3</v>
      </c>
      <c r="E12" s="14">
        <v>3</v>
      </c>
      <c r="F12" s="15" t="str">
        <f t="shared" si="3"/>
        <v/>
      </c>
      <c r="G12" s="36">
        <f t="shared" si="0"/>
        <v>3</v>
      </c>
      <c r="H12" s="17" t="s">
        <v>267</v>
      </c>
      <c r="I12" s="17" t="s">
        <v>280</v>
      </c>
      <c r="J12" s="15" t="str">
        <f t="shared" si="4"/>
        <v/>
      </c>
      <c r="K12" s="36" t="str">
        <f t="shared" si="2"/>
        <v>R</v>
      </c>
      <c r="L12" s="6" t="s">
        <v>262</v>
      </c>
      <c r="M12" s="6" t="s">
        <v>308</v>
      </c>
      <c r="N12" s="15" t="str">
        <f t="shared" si="1"/>
        <v/>
      </c>
      <c r="O12" s="36"/>
      <c r="P12" s="9">
        <v>3</v>
      </c>
    </row>
    <row r="13" spans="1:16" ht="30">
      <c r="A13" s="1" t="s">
        <v>91</v>
      </c>
      <c r="B13" s="1" t="s">
        <v>91</v>
      </c>
      <c r="C13" s="12" t="s">
        <v>84</v>
      </c>
      <c r="D13" s="14" t="s">
        <v>82</v>
      </c>
      <c r="E13" s="14">
        <v>6</v>
      </c>
      <c r="F13" s="15">
        <v>6</v>
      </c>
      <c r="G13" s="36">
        <f t="shared" si="0"/>
        <v>6</v>
      </c>
      <c r="H13" s="17" t="s">
        <v>278</v>
      </c>
      <c r="I13" s="17" t="s">
        <v>285</v>
      </c>
      <c r="J13" s="15" t="str">
        <f t="shared" si="4"/>
        <v/>
      </c>
      <c r="K13" s="36" t="str">
        <f t="shared" si="2"/>
        <v>I</v>
      </c>
      <c r="L13" s="6" t="s">
        <v>262</v>
      </c>
      <c r="M13" s="6" t="s">
        <v>309</v>
      </c>
      <c r="N13" s="15" t="str">
        <f t="shared" si="1"/>
        <v/>
      </c>
      <c r="O13" s="36"/>
      <c r="P13" s="9">
        <v>6</v>
      </c>
    </row>
    <row r="14" spans="1:16">
      <c r="A14" s="1" t="s">
        <v>3</v>
      </c>
      <c r="B14" s="1" t="s">
        <v>8</v>
      </c>
      <c r="C14" s="12" t="s">
        <v>21</v>
      </c>
      <c r="D14" s="14">
        <v>11</v>
      </c>
      <c r="E14" s="14">
        <v>11</v>
      </c>
      <c r="F14" s="15" t="str">
        <f>IF(D14=E14, "", "X")</f>
        <v/>
      </c>
      <c r="G14" s="36">
        <f t="shared" si="0"/>
        <v>11</v>
      </c>
      <c r="H14" s="17" t="s">
        <v>279</v>
      </c>
      <c r="I14" s="17" t="s">
        <v>280</v>
      </c>
      <c r="J14" s="15" t="s">
        <v>321</v>
      </c>
      <c r="K14" s="36" t="str">
        <f t="shared" si="2"/>
        <v>RR</v>
      </c>
      <c r="L14" s="6" t="s">
        <v>268</v>
      </c>
      <c r="M14" s="6" t="s">
        <v>308</v>
      </c>
      <c r="N14" s="15" t="s">
        <v>316</v>
      </c>
      <c r="O14" s="36"/>
      <c r="P14" s="9">
        <v>11</v>
      </c>
    </row>
    <row r="15" spans="1:16" ht="30">
      <c r="A15" s="1" t="s">
        <v>91</v>
      </c>
      <c r="B15" s="1" t="s">
        <v>91</v>
      </c>
      <c r="C15" s="12" t="s">
        <v>22</v>
      </c>
      <c r="D15" s="14">
        <v>6</v>
      </c>
      <c r="E15" s="14">
        <v>6</v>
      </c>
      <c r="F15" s="15" t="str">
        <f>IF(D15=E15, "", "X")</f>
        <v/>
      </c>
      <c r="G15" s="36">
        <f t="shared" si="0"/>
        <v>6</v>
      </c>
      <c r="I15" s="17" t="s">
        <v>293</v>
      </c>
      <c r="J15" s="15" t="s">
        <v>320</v>
      </c>
      <c r="K15" s="36" t="str">
        <f t="shared" si="2"/>
        <v>N</v>
      </c>
      <c r="L15" s="6" t="s">
        <v>268</v>
      </c>
      <c r="M15" s="6" t="s">
        <v>309</v>
      </c>
      <c r="N15" s="15" t="s">
        <v>316</v>
      </c>
      <c r="O15" s="36"/>
      <c r="P15" s="9">
        <v>6</v>
      </c>
    </row>
    <row r="16" spans="1:16">
      <c r="A16" s="1" t="s">
        <v>3</v>
      </c>
      <c r="B16" s="1" t="s">
        <v>6</v>
      </c>
      <c r="C16" s="12" t="s">
        <v>23</v>
      </c>
      <c r="D16" s="14">
        <v>11</v>
      </c>
      <c r="E16" s="14">
        <v>11</v>
      </c>
      <c r="F16" s="15" t="str">
        <f>IF(D16=E16, "", "X")</f>
        <v/>
      </c>
      <c r="G16" s="36">
        <f t="shared" si="0"/>
        <v>11</v>
      </c>
      <c r="I16" s="17" t="s">
        <v>280</v>
      </c>
      <c r="J16" s="15" t="s">
        <v>302</v>
      </c>
      <c r="K16" s="36" t="str">
        <f t="shared" si="2"/>
        <v>R</v>
      </c>
      <c r="L16" s="6" t="s">
        <v>268</v>
      </c>
      <c r="M16" s="6" t="s">
        <v>308</v>
      </c>
      <c r="N16" s="15" t="s">
        <v>316</v>
      </c>
      <c r="O16" s="36"/>
      <c r="P16" s="9">
        <v>11</v>
      </c>
    </row>
    <row r="17" spans="1:16">
      <c r="A17" s="1" t="s">
        <v>3</v>
      </c>
      <c r="B17" s="1" t="s">
        <v>6</v>
      </c>
      <c r="C17" s="12" t="s">
        <v>24</v>
      </c>
      <c r="D17" s="14">
        <v>11</v>
      </c>
      <c r="E17" s="14">
        <v>11</v>
      </c>
      <c r="F17" s="15" t="str">
        <f>IF(D17=E17, "", "X")</f>
        <v/>
      </c>
      <c r="G17" s="36">
        <f t="shared" si="0"/>
        <v>11</v>
      </c>
      <c r="I17" s="17" t="s">
        <v>280</v>
      </c>
      <c r="J17" s="15" t="s">
        <v>302</v>
      </c>
      <c r="K17" s="36" t="str">
        <f t="shared" si="2"/>
        <v>R</v>
      </c>
      <c r="L17" s="6" t="s">
        <v>268</v>
      </c>
      <c r="M17" s="6" t="s">
        <v>308</v>
      </c>
      <c r="N17" s="15" t="s">
        <v>316</v>
      </c>
      <c r="O17" s="36"/>
      <c r="P17" s="9">
        <v>11</v>
      </c>
    </row>
    <row r="18" spans="1:16">
      <c r="A18" s="1" t="s">
        <v>91</v>
      </c>
      <c r="B18" s="1" t="s">
        <v>91</v>
      </c>
      <c r="C18" s="12" t="s">
        <v>25</v>
      </c>
      <c r="D18" s="6">
        <v>7</v>
      </c>
      <c r="E18" s="6">
        <v>4</v>
      </c>
      <c r="F18" s="15">
        <v>9</v>
      </c>
      <c r="G18" s="36">
        <f t="shared" si="0"/>
        <v>9</v>
      </c>
      <c r="H18" s="17" t="s">
        <v>278</v>
      </c>
      <c r="I18" s="17" t="s">
        <v>293</v>
      </c>
      <c r="J18" s="15" t="str">
        <f t="shared" ref="J18:J80" si="5">IF(H18=I18, "", "X")</f>
        <v/>
      </c>
      <c r="K18" s="36" t="str">
        <f t="shared" si="2"/>
        <v>I</v>
      </c>
      <c r="L18" s="6" t="s">
        <v>268</v>
      </c>
      <c r="M18" s="6" t="s">
        <v>94</v>
      </c>
      <c r="N18" s="15" t="str">
        <f t="shared" si="1"/>
        <v/>
      </c>
      <c r="O18" s="36"/>
      <c r="P18" s="9">
        <v>9</v>
      </c>
    </row>
    <row r="19" spans="1:16">
      <c r="A19" s="1" t="s">
        <v>3</v>
      </c>
      <c r="B19" s="1" t="s">
        <v>8</v>
      </c>
      <c r="C19" s="12" t="s">
        <v>20</v>
      </c>
      <c r="D19" s="6">
        <v>3</v>
      </c>
      <c r="E19" s="6">
        <v>3</v>
      </c>
      <c r="F19" s="15" t="str">
        <f>IF(D19=E19, "", "X")</f>
        <v/>
      </c>
      <c r="G19" s="36">
        <f t="shared" si="0"/>
        <v>3</v>
      </c>
      <c r="H19" s="17" t="s">
        <v>267</v>
      </c>
      <c r="I19" s="17" t="s">
        <v>280</v>
      </c>
      <c r="J19" s="15" t="str">
        <f t="shared" si="5"/>
        <v/>
      </c>
      <c r="K19" s="36" t="str">
        <f t="shared" si="2"/>
        <v>R</v>
      </c>
      <c r="L19" s="6" t="s">
        <v>268</v>
      </c>
      <c r="M19" s="6" t="s">
        <v>269</v>
      </c>
      <c r="N19" s="15" t="str">
        <f t="shared" si="1"/>
        <v/>
      </c>
      <c r="O19" s="36"/>
      <c r="P19" s="9">
        <v>3</v>
      </c>
    </row>
    <row r="20" spans="1:16" ht="45">
      <c r="A20" s="1" t="s">
        <v>91</v>
      </c>
      <c r="B20" s="1" t="s">
        <v>91</v>
      </c>
      <c r="C20" s="12" t="s">
        <v>377</v>
      </c>
      <c r="D20" s="6">
        <v>6</v>
      </c>
      <c r="E20" s="6">
        <v>4</v>
      </c>
      <c r="F20" s="15">
        <v>4</v>
      </c>
      <c r="G20" s="36">
        <f t="shared" si="0"/>
        <v>4</v>
      </c>
      <c r="I20" s="17" t="s">
        <v>294</v>
      </c>
      <c r="J20" s="15"/>
      <c r="K20" s="36">
        <f t="shared" si="2"/>
        <v>0</v>
      </c>
      <c r="L20" s="6" t="s">
        <v>268</v>
      </c>
      <c r="M20" s="6" t="s">
        <v>269</v>
      </c>
      <c r="N20" s="15" t="str">
        <f t="shared" si="1"/>
        <v/>
      </c>
      <c r="O20" s="36"/>
      <c r="P20" s="9">
        <v>4</v>
      </c>
    </row>
    <row r="21" spans="1:16">
      <c r="A21" s="1" t="s">
        <v>91</v>
      </c>
      <c r="B21" s="1" t="s">
        <v>91</v>
      </c>
      <c r="C21" s="12" t="s">
        <v>26</v>
      </c>
      <c r="D21" s="6">
        <v>6</v>
      </c>
      <c r="E21" s="6">
        <v>5</v>
      </c>
      <c r="F21" s="15">
        <v>4</v>
      </c>
      <c r="G21" s="36">
        <f t="shared" si="0"/>
        <v>4</v>
      </c>
      <c r="I21" s="17" t="s">
        <v>294</v>
      </c>
      <c r="J21" s="15"/>
      <c r="K21" s="36">
        <f t="shared" si="2"/>
        <v>0</v>
      </c>
      <c r="L21" s="6" t="s">
        <v>268</v>
      </c>
      <c r="M21" s="6">
        <v>99</v>
      </c>
      <c r="N21" s="15" t="s">
        <v>316</v>
      </c>
      <c r="O21" s="36"/>
      <c r="P21" s="9">
        <v>4</v>
      </c>
    </row>
    <row r="22" spans="1:16">
      <c r="C22" s="12" t="s">
        <v>28</v>
      </c>
      <c r="G22" s="36">
        <f t="shared" si="0"/>
        <v>0</v>
      </c>
      <c r="J22" s="15" t="str">
        <f t="shared" si="5"/>
        <v/>
      </c>
      <c r="K22" s="36">
        <f t="shared" si="2"/>
        <v>0</v>
      </c>
      <c r="L22" s="6" t="s">
        <v>316</v>
      </c>
      <c r="N22" s="15" t="s">
        <v>316</v>
      </c>
      <c r="O22" s="36"/>
      <c r="P22" s="9">
        <v>0</v>
      </c>
    </row>
    <row r="23" spans="1:16">
      <c r="A23" s="1" t="s">
        <v>91</v>
      </c>
      <c r="B23" s="1" t="s">
        <v>91</v>
      </c>
      <c r="C23" s="12" t="s">
        <v>27</v>
      </c>
      <c r="D23" s="6">
        <v>6</v>
      </c>
      <c r="E23" s="6">
        <v>4</v>
      </c>
      <c r="F23" s="15">
        <v>4</v>
      </c>
      <c r="G23" s="36">
        <f t="shared" si="0"/>
        <v>4</v>
      </c>
      <c r="H23" s="17" t="s">
        <v>278</v>
      </c>
      <c r="I23" s="17" t="s">
        <v>285</v>
      </c>
      <c r="J23" s="15" t="str">
        <f t="shared" si="5"/>
        <v/>
      </c>
      <c r="K23" s="36" t="str">
        <f t="shared" si="2"/>
        <v>I</v>
      </c>
      <c r="L23" s="6"/>
      <c r="M23" s="6" t="s">
        <v>266</v>
      </c>
      <c r="N23" s="15" t="s">
        <v>316</v>
      </c>
      <c r="O23" s="36"/>
      <c r="P23" s="9">
        <v>4</v>
      </c>
    </row>
    <row r="24" spans="1:16">
      <c r="A24" s="39" t="s">
        <v>378</v>
      </c>
      <c r="B24" s="1" t="s">
        <v>7</v>
      </c>
      <c r="C24" s="12" t="s">
        <v>29</v>
      </c>
      <c r="D24" s="6">
        <v>7</v>
      </c>
      <c r="E24" s="6">
        <v>9</v>
      </c>
      <c r="F24" s="15">
        <v>9</v>
      </c>
      <c r="G24" s="36">
        <f t="shared" si="0"/>
        <v>9</v>
      </c>
      <c r="H24" s="17" t="s">
        <v>267</v>
      </c>
      <c r="I24" s="17" t="s">
        <v>280</v>
      </c>
      <c r="J24" s="15" t="str">
        <f t="shared" si="5"/>
        <v/>
      </c>
      <c r="K24" s="36" t="str">
        <f t="shared" si="2"/>
        <v>R</v>
      </c>
      <c r="L24" s="6" t="s">
        <v>268</v>
      </c>
      <c r="M24" s="6" t="s">
        <v>308</v>
      </c>
      <c r="N24" s="15" t="s">
        <v>316</v>
      </c>
      <c r="O24" s="36"/>
      <c r="P24" s="9">
        <v>9</v>
      </c>
    </row>
    <row r="25" spans="1:16">
      <c r="A25" s="1" t="s">
        <v>91</v>
      </c>
      <c r="B25" s="1" t="s">
        <v>91</v>
      </c>
      <c r="C25" s="12" t="s">
        <v>30</v>
      </c>
      <c r="D25" s="6">
        <v>6</v>
      </c>
      <c r="E25" s="6">
        <v>6</v>
      </c>
      <c r="F25" s="15" t="str">
        <f>IF(D25=E25, "", "X")</f>
        <v/>
      </c>
      <c r="G25" s="36">
        <f t="shared" si="0"/>
        <v>6</v>
      </c>
      <c r="I25" s="17" t="s">
        <v>285</v>
      </c>
      <c r="J25" s="15" t="s">
        <v>320</v>
      </c>
      <c r="K25" s="36" t="str">
        <f t="shared" si="2"/>
        <v>N</v>
      </c>
      <c r="L25" s="6" t="s">
        <v>268</v>
      </c>
      <c r="M25" s="6" t="s">
        <v>308</v>
      </c>
      <c r="N25" s="15" t="s">
        <v>316</v>
      </c>
      <c r="O25" s="36"/>
      <c r="P25" s="9">
        <v>6</v>
      </c>
    </row>
    <row r="26" spans="1:16">
      <c r="A26" s="39" t="s">
        <v>378</v>
      </c>
      <c r="B26" s="1" t="s">
        <v>7</v>
      </c>
      <c r="C26" s="12" t="s">
        <v>31</v>
      </c>
      <c r="D26" s="6">
        <v>7</v>
      </c>
      <c r="E26" s="6">
        <v>7</v>
      </c>
      <c r="F26" s="15" t="str">
        <f>IF(D26=E26, "", "X")</f>
        <v/>
      </c>
      <c r="G26" s="36">
        <f t="shared" si="0"/>
        <v>7</v>
      </c>
      <c r="H26" s="17" t="s">
        <v>278</v>
      </c>
      <c r="I26" s="17" t="s">
        <v>280</v>
      </c>
      <c r="J26" s="15" t="s">
        <v>323</v>
      </c>
      <c r="K26" s="36" t="str">
        <f t="shared" si="2"/>
        <v>I</v>
      </c>
      <c r="L26" s="6" t="s">
        <v>268</v>
      </c>
      <c r="M26" s="6" t="s">
        <v>308</v>
      </c>
      <c r="N26" s="15" t="s">
        <v>316</v>
      </c>
      <c r="O26" s="36"/>
      <c r="P26" s="9">
        <v>7</v>
      </c>
    </row>
    <row r="27" spans="1:16">
      <c r="A27" s="1" t="s">
        <v>91</v>
      </c>
      <c r="B27" s="1" t="s">
        <v>91</v>
      </c>
      <c r="C27" s="12" t="s">
        <v>32</v>
      </c>
      <c r="D27" s="6">
        <v>10</v>
      </c>
      <c r="E27" s="6">
        <v>8</v>
      </c>
      <c r="F27" s="15">
        <v>10</v>
      </c>
      <c r="G27" s="36">
        <f t="shared" si="0"/>
        <v>10</v>
      </c>
      <c r="H27" s="17" t="s">
        <v>267</v>
      </c>
      <c r="I27" s="17" t="s">
        <v>280</v>
      </c>
      <c r="J27" s="15" t="str">
        <f t="shared" si="5"/>
        <v/>
      </c>
      <c r="K27" s="36" t="str">
        <f t="shared" si="2"/>
        <v>R</v>
      </c>
      <c r="L27" s="6" t="s">
        <v>268</v>
      </c>
      <c r="M27" s="6" t="s">
        <v>310</v>
      </c>
      <c r="N27" s="15" t="s">
        <v>316</v>
      </c>
      <c r="O27" s="36"/>
      <c r="P27" s="9">
        <v>10</v>
      </c>
    </row>
    <row r="28" spans="1:16">
      <c r="A28" s="1" t="s">
        <v>3</v>
      </c>
      <c r="B28" s="1" t="s">
        <v>8</v>
      </c>
      <c r="C28" s="12" t="s">
        <v>33</v>
      </c>
      <c r="D28" s="6">
        <v>2</v>
      </c>
      <c r="E28" s="6">
        <v>2</v>
      </c>
      <c r="F28" s="15" t="str">
        <f>IF(D28=E28, "", "X")</f>
        <v/>
      </c>
      <c r="G28" s="36">
        <f t="shared" si="0"/>
        <v>2</v>
      </c>
      <c r="I28" s="17" t="s">
        <v>280</v>
      </c>
      <c r="J28" s="15" t="s">
        <v>302</v>
      </c>
      <c r="K28" s="36" t="str">
        <f t="shared" si="2"/>
        <v>R</v>
      </c>
      <c r="L28" s="6" t="s">
        <v>268</v>
      </c>
      <c r="M28" s="6" t="s">
        <v>308</v>
      </c>
      <c r="N28" s="15" t="s">
        <v>316</v>
      </c>
      <c r="O28" s="36"/>
      <c r="P28" s="9">
        <v>2</v>
      </c>
    </row>
    <row r="29" spans="1:16">
      <c r="A29" s="1" t="s">
        <v>91</v>
      </c>
      <c r="B29" s="1" t="s">
        <v>91</v>
      </c>
      <c r="C29" s="12" t="s">
        <v>34</v>
      </c>
      <c r="D29" s="6">
        <v>5</v>
      </c>
      <c r="E29" s="6">
        <v>6</v>
      </c>
      <c r="F29" s="15">
        <v>6</v>
      </c>
      <c r="G29" s="36">
        <f t="shared" si="0"/>
        <v>6</v>
      </c>
      <c r="I29" s="17" t="s">
        <v>285</v>
      </c>
      <c r="J29" s="15"/>
      <c r="K29" s="36">
        <f t="shared" si="2"/>
        <v>0</v>
      </c>
      <c r="L29" s="6"/>
      <c r="M29" s="6" t="s">
        <v>311</v>
      </c>
      <c r="N29" s="15" t="s">
        <v>316</v>
      </c>
      <c r="O29" s="36"/>
      <c r="P29" s="9">
        <v>6</v>
      </c>
    </row>
    <row r="30" spans="1:16">
      <c r="A30" s="39" t="s">
        <v>378</v>
      </c>
      <c r="B30" s="1" t="s">
        <v>64</v>
      </c>
      <c r="C30" s="12" t="s">
        <v>36</v>
      </c>
      <c r="D30" s="6">
        <v>9</v>
      </c>
      <c r="E30" s="6">
        <v>9</v>
      </c>
      <c r="F30" s="15" t="str">
        <f>IF(D30=E30, "", "X")</f>
        <v/>
      </c>
      <c r="G30" s="36">
        <f t="shared" si="0"/>
        <v>9</v>
      </c>
      <c r="H30" s="17" t="s">
        <v>277</v>
      </c>
      <c r="I30" s="17" t="s">
        <v>280</v>
      </c>
      <c r="J30" s="15" t="s">
        <v>294</v>
      </c>
      <c r="K30" s="36" t="str">
        <f t="shared" si="2"/>
        <v>W</v>
      </c>
      <c r="L30" s="6" t="s">
        <v>268</v>
      </c>
      <c r="M30" s="6" t="s">
        <v>308</v>
      </c>
      <c r="N30" s="15" t="s">
        <v>316</v>
      </c>
      <c r="O30" s="36"/>
      <c r="P30" s="9">
        <v>9</v>
      </c>
    </row>
    <row r="31" spans="1:16">
      <c r="A31" s="1" t="s">
        <v>91</v>
      </c>
      <c r="B31" s="1" t="s">
        <v>91</v>
      </c>
      <c r="C31" s="12" t="s">
        <v>35</v>
      </c>
      <c r="D31" s="6">
        <v>6</v>
      </c>
      <c r="E31" s="6">
        <v>5</v>
      </c>
      <c r="F31" s="15">
        <v>4</v>
      </c>
      <c r="G31" s="36">
        <f t="shared" si="0"/>
        <v>4</v>
      </c>
      <c r="I31" s="17" t="s">
        <v>294</v>
      </c>
      <c r="J31" s="15"/>
      <c r="K31" s="36">
        <f t="shared" si="2"/>
        <v>0</v>
      </c>
      <c r="L31" s="6" t="s">
        <v>268</v>
      </c>
      <c r="M31" s="6" t="s">
        <v>286</v>
      </c>
      <c r="N31" s="15" t="s">
        <v>286</v>
      </c>
      <c r="O31" s="36"/>
    </row>
    <row r="32" spans="1:16">
      <c r="A32" s="1" t="s">
        <v>91</v>
      </c>
      <c r="B32" s="1" t="s">
        <v>91</v>
      </c>
      <c r="C32" s="12" t="s">
        <v>37</v>
      </c>
      <c r="D32" s="6">
        <v>6</v>
      </c>
      <c r="E32" s="7">
        <v>5</v>
      </c>
      <c r="F32" s="15">
        <v>4</v>
      </c>
      <c r="G32" s="36">
        <f t="shared" si="0"/>
        <v>4</v>
      </c>
      <c r="I32" s="17" t="s">
        <v>295</v>
      </c>
      <c r="J32" s="15"/>
      <c r="K32" s="36">
        <f t="shared" si="2"/>
        <v>0</v>
      </c>
      <c r="L32" s="6" t="s">
        <v>268</v>
      </c>
      <c r="M32" s="6" t="s">
        <v>312</v>
      </c>
      <c r="N32" s="15" t="s">
        <v>312</v>
      </c>
      <c r="O32" s="36"/>
    </row>
    <row r="33" spans="1:15">
      <c r="A33" s="39" t="s">
        <v>378</v>
      </c>
      <c r="B33" s="1" t="s">
        <v>64</v>
      </c>
      <c r="C33" s="12" t="s">
        <v>38</v>
      </c>
      <c r="D33" s="6">
        <v>6</v>
      </c>
      <c r="E33" s="6">
        <v>9</v>
      </c>
      <c r="F33" s="15">
        <v>9</v>
      </c>
      <c r="G33" s="36">
        <f t="shared" si="0"/>
        <v>9</v>
      </c>
      <c r="I33" s="17" t="s">
        <v>280</v>
      </c>
      <c r="J33" s="15" t="s">
        <v>293</v>
      </c>
      <c r="K33" s="36" t="str">
        <f t="shared" si="2"/>
        <v>I</v>
      </c>
      <c r="L33" s="6" t="s">
        <v>268</v>
      </c>
      <c r="M33" s="6" t="s">
        <v>312</v>
      </c>
      <c r="N33" s="15" t="s">
        <v>312</v>
      </c>
      <c r="O33" s="36"/>
    </row>
    <row r="34" spans="1:15">
      <c r="A34" s="1" t="s">
        <v>91</v>
      </c>
      <c r="B34" s="1" t="s">
        <v>91</v>
      </c>
      <c r="C34" s="12" t="s">
        <v>39</v>
      </c>
      <c r="D34" s="6">
        <v>6</v>
      </c>
      <c r="E34" s="6">
        <v>6</v>
      </c>
      <c r="F34" s="15" t="str">
        <f>IF(D34=E34, "", "X")</f>
        <v/>
      </c>
      <c r="G34" s="36">
        <f t="shared" si="0"/>
        <v>6</v>
      </c>
      <c r="I34" s="17" t="s">
        <v>280</v>
      </c>
      <c r="J34" s="15" t="s">
        <v>302</v>
      </c>
      <c r="K34" s="36" t="str">
        <f t="shared" si="2"/>
        <v>R</v>
      </c>
      <c r="L34" s="6" t="s">
        <v>268</v>
      </c>
      <c r="M34" s="6" t="s">
        <v>312</v>
      </c>
      <c r="N34" s="15" t="s">
        <v>312</v>
      </c>
      <c r="O34" s="36"/>
    </row>
    <row r="35" spans="1:15">
      <c r="A35" s="39" t="s">
        <v>378</v>
      </c>
      <c r="B35" s="1" t="s">
        <v>64</v>
      </c>
      <c r="C35" s="12" t="s">
        <v>40</v>
      </c>
      <c r="D35" s="6">
        <v>7</v>
      </c>
      <c r="E35" s="6">
        <v>7</v>
      </c>
      <c r="F35" s="15" t="str">
        <f>IF(D35=E35, "", "X")</f>
        <v/>
      </c>
      <c r="G35" s="36">
        <f t="shared" si="0"/>
        <v>7</v>
      </c>
      <c r="H35" s="17" t="s">
        <v>278</v>
      </c>
      <c r="I35" s="17" t="s">
        <v>280</v>
      </c>
      <c r="J35" s="15" t="s">
        <v>293</v>
      </c>
      <c r="K35" s="36" t="str">
        <f t="shared" si="2"/>
        <v>I</v>
      </c>
      <c r="L35" s="6" t="s">
        <v>268</v>
      </c>
      <c r="M35" s="6" t="s">
        <v>312</v>
      </c>
      <c r="N35" s="15" t="s">
        <v>312</v>
      </c>
      <c r="O35" s="36"/>
    </row>
    <row r="36" spans="1:15">
      <c r="A36" s="39" t="s">
        <v>378</v>
      </c>
      <c r="B36" s="1" t="s">
        <v>41</v>
      </c>
      <c r="C36" s="12" t="s">
        <v>42</v>
      </c>
      <c r="D36" s="6">
        <v>10</v>
      </c>
      <c r="E36" s="7">
        <v>6</v>
      </c>
      <c r="F36" s="15">
        <v>6</v>
      </c>
      <c r="G36" s="36">
        <f t="shared" si="0"/>
        <v>6</v>
      </c>
      <c r="H36" s="17" t="s">
        <v>267</v>
      </c>
      <c r="I36" s="17" t="s">
        <v>280</v>
      </c>
      <c r="J36" s="15" t="s">
        <v>280</v>
      </c>
      <c r="K36" s="36" t="str">
        <f t="shared" si="2"/>
        <v>R</v>
      </c>
      <c r="L36" s="6" t="s">
        <v>268</v>
      </c>
      <c r="M36" s="6" t="s">
        <v>312</v>
      </c>
      <c r="N36" s="15" t="s">
        <v>312</v>
      </c>
      <c r="O36" s="36"/>
    </row>
    <row r="37" spans="1:15" ht="30">
      <c r="A37" s="1" t="s">
        <v>91</v>
      </c>
      <c r="B37" s="1" t="s">
        <v>91</v>
      </c>
      <c r="C37" s="12" t="s">
        <v>43</v>
      </c>
      <c r="D37" s="6">
        <v>6</v>
      </c>
      <c r="E37" s="6">
        <v>7</v>
      </c>
      <c r="F37" s="15">
        <v>4</v>
      </c>
      <c r="G37" s="36">
        <f t="shared" si="0"/>
        <v>4</v>
      </c>
      <c r="H37" s="17" t="s">
        <v>278</v>
      </c>
      <c r="I37" s="17" t="s">
        <v>296</v>
      </c>
      <c r="J37" s="15" t="str">
        <f t="shared" si="5"/>
        <v/>
      </c>
      <c r="K37" s="36" t="str">
        <f t="shared" si="2"/>
        <v>I</v>
      </c>
      <c r="L37" s="6" t="s">
        <v>268</v>
      </c>
      <c r="M37" s="6" t="s">
        <v>312</v>
      </c>
      <c r="N37" s="15" t="s">
        <v>312</v>
      </c>
      <c r="O37" s="36"/>
    </row>
    <row r="38" spans="1:15">
      <c r="A38" s="39" t="s">
        <v>378</v>
      </c>
      <c r="B38" s="1" t="s">
        <v>41</v>
      </c>
      <c r="C38" s="12" t="s">
        <v>44</v>
      </c>
      <c r="D38" s="6">
        <v>6</v>
      </c>
      <c r="E38" s="6">
        <v>3</v>
      </c>
      <c r="F38" s="15">
        <v>6</v>
      </c>
      <c r="G38" s="36">
        <f t="shared" si="0"/>
        <v>6</v>
      </c>
      <c r="H38" s="17" t="s">
        <v>267</v>
      </c>
      <c r="I38" s="17" t="s">
        <v>280</v>
      </c>
      <c r="J38" s="15" t="str">
        <f t="shared" si="5"/>
        <v/>
      </c>
      <c r="K38" s="36" t="str">
        <f t="shared" si="2"/>
        <v>R</v>
      </c>
      <c r="L38" s="6" t="s">
        <v>268</v>
      </c>
      <c r="M38" s="6" t="s">
        <v>312</v>
      </c>
      <c r="N38" s="15" t="s">
        <v>312</v>
      </c>
      <c r="O38" s="36"/>
    </row>
    <row r="39" spans="1:15">
      <c r="A39" s="1" t="s">
        <v>91</v>
      </c>
      <c r="B39" s="1" t="s">
        <v>91</v>
      </c>
      <c r="C39" s="12" t="s">
        <v>45</v>
      </c>
      <c r="D39" s="6">
        <v>7</v>
      </c>
      <c r="E39" s="6">
        <v>7</v>
      </c>
      <c r="F39" s="15" t="str">
        <f>IF(D39=E39, "", "X")</f>
        <v/>
      </c>
      <c r="G39" s="36">
        <f t="shared" si="0"/>
        <v>7</v>
      </c>
      <c r="H39" s="17" t="s">
        <v>277</v>
      </c>
      <c r="I39" s="17" t="s">
        <v>282</v>
      </c>
      <c r="J39" s="15" t="str">
        <f t="shared" si="5"/>
        <v/>
      </c>
      <c r="K39" s="36" t="str">
        <f t="shared" si="2"/>
        <v>W</v>
      </c>
      <c r="L39" s="6" t="s">
        <v>268</v>
      </c>
      <c r="M39" s="6" t="s">
        <v>312</v>
      </c>
      <c r="N39" s="15" t="s">
        <v>312</v>
      </c>
      <c r="O39" s="36"/>
    </row>
    <row r="40" spans="1:15">
      <c r="A40" s="1" t="s">
        <v>91</v>
      </c>
      <c r="B40" s="1" t="s">
        <v>91</v>
      </c>
      <c r="C40" s="12" t="s">
        <v>46</v>
      </c>
      <c r="D40" s="6">
        <v>6</v>
      </c>
      <c r="E40" s="6">
        <v>4</v>
      </c>
      <c r="F40" s="15">
        <v>4</v>
      </c>
      <c r="G40" s="36">
        <f t="shared" si="0"/>
        <v>4</v>
      </c>
      <c r="I40" s="17" t="s">
        <v>293</v>
      </c>
      <c r="J40" s="15" t="s">
        <v>324</v>
      </c>
      <c r="K40" s="36" t="str">
        <f t="shared" si="2"/>
        <v>N</v>
      </c>
      <c r="L40" s="6" t="s">
        <v>268</v>
      </c>
      <c r="M40" s="6" t="s">
        <v>289</v>
      </c>
      <c r="N40" s="15" t="s">
        <v>289</v>
      </c>
      <c r="O40" s="36"/>
    </row>
    <row r="41" spans="1:15">
      <c r="A41" s="39" t="s">
        <v>378</v>
      </c>
      <c r="B41" s="1" t="s">
        <v>66</v>
      </c>
      <c r="C41" s="12" t="s">
        <v>48</v>
      </c>
      <c r="D41" s="6">
        <v>6</v>
      </c>
      <c r="E41" s="6">
        <v>11</v>
      </c>
      <c r="F41" s="15">
        <v>11</v>
      </c>
      <c r="G41" s="36">
        <f t="shared" si="0"/>
        <v>11</v>
      </c>
      <c r="I41" s="17" t="s">
        <v>280</v>
      </c>
      <c r="J41" s="15" t="s">
        <v>325</v>
      </c>
      <c r="K41" s="36" t="str">
        <f t="shared" si="2"/>
        <v>R</v>
      </c>
      <c r="L41" s="6" t="s">
        <v>268</v>
      </c>
      <c r="M41" s="6" t="s">
        <v>289</v>
      </c>
      <c r="N41" s="15" t="s">
        <v>289</v>
      </c>
      <c r="O41" s="36"/>
    </row>
    <row r="42" spans="1:15">
      <c r="C42" s="12" t="s">
        <v>49</v>
      </c>
      <c r="F42" s="15" t="str">
        <f>IF(D42=E42, "", "X")</f>
        <v/>
      </c>
      <c r="G42" s="36">
        <f t="shared" si="0"/>
        <v>0</v>
      </c>
      <c r="J42" s="15" t="str">
        <f t="shared" si="5"/>
        <v/>
      </c>
      <c r="K42" s="36">
        <f t="shared" si="2"/>
        <v>0</v>
      </c>
      <c r="L42" s="6" t="s">
        <v>268</v>
      </c>
      <c r="M42" s="23" t="s">
        <v>289</v>
      </c>
      <c r="N42" s="15" t="s">
        <v>289</v>
      </c>
      <c r="O42" s="36"/>
    </row>
    <row r="43" spans="1:15">
      <c r="A43" s="1" t="s">
        <v>91</v>
      </c>
      <c r="B43" s="1" t="s">
        <v>91</v>
      </c>
      <c r="C43" s="12" t="s">
        <v>50</v>
      </c>
      <c r="D43" s="6">
        <v>6</v>
      </c>
      <c r="E43" s="7">
        <v>5</v>
      </c>
      <c r="F43" s="15">
        <v>4</v>
      </c>
      <c r="G43" s="36">
        <f t="shared" si="0"/>
        <v>4</v>
      </c>
      <c r="I43" s="17" t="s">
        <v>294</v>
      </c>
      <c r="J43" s="15" t="s">
        <v>294</v>
      </c>
      <c r="K43" s="36" t="str">
        <f t="shared" si="2"/>
        <v>W</v>
      </c>
      <c r="L43" s="6"/>
      <c r="M43" s="23" t="s">
        <v>289</v>
      </c>
      <c r="N43" s="15" t="s">
        <v>289</v>
      </c>
      <c r="O43" s="36"/>
    </row>
    <row r="44" spans="1:15">
      <c r="A44" s="1" t="s">
        <v>91</v>
      </c>
      <c r="B44" s="1" t="s">
        <v>91</v>
      </c>
      <c r="C44" s="12" t="s">
        <v>9</v>
      </c>
      <c r="E44" s="6">
        <v>7</v>
      </c>
      <c r="F44" s="15">
        <v>4</v>
      </c>
      <c r="G44" s="36">
        <f t="shared" si="0"/>
        <v>4</v>
      </c>
      <c r="I44" s="17" t="s">
        <v>296</v>
      </c>
      <c r="J44" s="15" t="s">
        <v>293</v>
      </c>
      <c r="K44" s="36" t="str">
        <f t="shared" si="2"/>
        <v>I</v>
      </c>
      <c r="L44" s="6" t="s">
        <v>268</v>
      </c>
      <c r="M44" s="23" t="s">
        <v>289</v>
      </c>
      <c r="N44" s="15" t="s">
        <v>289</v>
      </c>
      <c r="O44" s="36"/>
    </row>
    <row r="45" spans="1:15">
      <c r="A45" s="39" t="s">
        <v>378</v>
      </c>
      <c r="B45" s="1" t="s">
        <v>47</v>
      </c>
      <c r="C45" s="12" t="s">
        <v>51</v>
      </c>
      <c r="D45" s="6">
        <v>6</v>
      </c>
      <c r="E45" s="6">
        <v>6</v>
      </c>
      <c r="F45" s="15" t="str">
        <f>IF(D45=E45, "", "X")</f>
        <v/>
      </c>
      <c r="G45" s="36">
        <f t="shared" si="0"/>
        <v>6</v>
      </c>
      <c r="I45" s="17" t="s">
        <v>280</v>
      </c>
      <c r="J45" s="15" t="s">
        <v>302</v>
      </c>
      <c r="K45" s="36" t="str">
        <f t="shared" si="2"/>
        <v>R</v>
      </c>
      <c r="L45" s="6" t="s">
        <v>268</v>
      </c>
      <c r="M45" s="23" t="s">
        <v>289</v>
      </c>
      <c r="N45" s="15" t="s">
        <v>289</v>
      </c>
      <c r="O45" s="36"/>
    </row>
    <row r="46" spans="1:15">
      <c r="C46" s="12" t="s">
        <v>49</v>
      </c>
      <c r="F46" s="15" t="str">
        <f>IF(D46=E46, "", "X")</f>
        <v/>
      </c>
      <c r="G46" s="36">
        <f t="shared" si="0"/>
        <v>0</v>
      </c>
      <c r="J46" s="15" t="str">
        <f t="shared" si="5"/>
        <v/>
      </c>
      <c r="K46" s="36">
        <f t="shared" si="2"/>
        <v>0</v>
      </c>
      <c r="L46" s="6" t="s">
        <v>268</v>
      </c>
      <c r="M46" s="23" t="s">
        <v>289</v>
      </c>
      <c r="N46" s="15" t="s">
        <v>289</v>
      </c>
      <c r="O46" s="36"/>
    </row>
    <row r="47" spans="1:15">
      <c r="A47" s="1" t="s">
        <v>91</v>
      </c>
      <c r="B47" s="1" t="s">
        <v>91</v>
      </c>
      <c r="C47" s="12" t="s">
        <v>52</v>
      </c>
      <c r="D47" s="6">
        <v>7</v>
      </c>
      <c r="E47" s="6">
        <v>7</v>
      </c>
      <c r="F47" s="15" t="str">
        <f>IF(D47=E47, "", "X")</f>
        <v/>
      </c>
      <c r="G47" s="36">
        <f t="shared" si="0"/>
        <v>7</v>
      </c>
      <c r="H47" s="17" t="s">
        <v>278</v>
      </c>
      <c r="I47" s="17" t="s">
        <v>285</v>
      </c>
      <c r="J47" s="15" t="str">
        <f t="shared" si="5"/>
        <v/>
      </c>
      <c r="K47" s="36" t="str">
        <f t="shared" si="2"/>
        <v>I</v>
      </c>
      <c r="L47" s="6"/>
      <c r="M47" s="23" t="s">
        <v>289</v>
      </c>
      <c r="N47" s="15" t="s">
        <v>289</v>
      </c>
      <c r="O47" s="36"/>
    </row>
    <row r="48" spans="1:15">
      <c r="A48" s="39" t="s">
        <v>378</v>
      </c>
      <c r="B48" s="1" t="s">
        <v>47</v>
      </c>
      <c r="C48" s="12" t="s">
        <v>53</v>
      </c>
      <c r="D48" s="6">
        <v>3</v>
      </c>
      <c r="E48" s="6">
        <v>3</v>
      </c>
      <c r="F48" s="15" t="str">
        <f>IF(D48=E48, "", "X")</f>
        <v/>
      </c>
      <c r="G48" s="36">
        <f t="shared" si="0"/>
        <v>3</v>
      </c>
      <c r="H48" s="17" t="s">
        <v>267</v>
      </c>
      <c r="I48" s="17" t="s">
        <v>280</v>
      </c>
      <c r="J48" s="15" t="str">
        <f t="shared" si="5"/>
        <v/>
      </c>
      <c r="K48" s="36" t="str">
        <f t="shared" si="2"/>
        <v>R</v>
      </c>
      <c r="L48" s="6" t="s">
        <v>268</v>
      </c>
      <c r="M48" s="23" t="s">
        <v>289</v>
      </c>
      <c r="N48" s="15" t="s">
        <v>289</v>
      </c>
      <c r="O48" s="36"/>
    </row>
    <row r="49" spans="1:15">
      <c r="A49" s="1" t="s">
        <v>91</v>
      </c>
      <c r="B49" s="1" t="s">
        <v>91</v>
      </c>
      <c r="C49" s="12" t="s">
        <v>54</v>
      </c>
      <c r="D49" s="6">
        <v>7</v>
      </c>
      <c r="E49" s="6">
        <v>9</v>
      </c>
      <c r="F49" s="15">
        <v>7</v>
      </c>
      <c r="G49" s="36">
        <f t="shared" si="0"/>
        <v>7</v>
      </c>
      <c r="H49" s="17" t="s">
        <v>278</v>
      </c>
      <c r="I49" s="17" t="s">
        <v>285</v>
      </c>
      <c r="J49" s="15" t="str">
        <f t="shared" si="5"/>
        <v/>
      </c>
      <c r="K49" s="36" t="str">
        <f t="shared" si="2"/>
        <v>I</v>
      </c>
      <c r="L49" s="6" t="s">
        <v>268</v>
      </c>
      <c r="M49" s="23" t="s">
        <v>289</v>
      </c>
      <c r="N49" s="15" t="s">
        <v>289</v>
      </c>
      <c r="O49" s="36"/>
    </row>
    <row r="50" spans="1:15">
      <c r="A50" s="1" t="s">
        <v>3</v>
      </c>
      <c r="B50" s="50" t="s">
        <v>6</v>
      </c>
      <c r="C50" s="12" t="s">
        <v>55</v>
      </c>
      <c r="D50" s="51" t="s">
        <v>83</v>
      </c>
      <c r="E50" s="7">
        <v>9</v>
      </c>
      <c r="F50" s="15">
        <v>2</v>
      </c>
      <c r="G50" s="36">
        <f t="shared" si="0"/>
        <v>2</v>
      </c>
      <c r="H50" s="17" t="s">
        <v>267</v>
      </c>
      <c r="I50" s="17" t="s">
        <v>280</v>
      </c>
      <c r="J50" s="15" t="s">
        <v>302</v>
      </c>
      <c r="K50" s="36" t="str">
        <f t="shared" si="2"/>
        <v>R</v>
      </c>
      <c r="L50" s="6" t="s">
        <v>268</v>
      </c>
      <c r="M50" s="6" t="s">
        <v>264</v>
      </c>
      <c r="N50" s="15" t="s">
        <v>289</v>
      </c>
      <c r="O50" s="36"/>
    </row>
    <row r="51" spans="1:15">
      <c r="B51" s="50"/>
      <c r="C51" s="12" t="s">
        <v>56</v>
      </c>
      <c r="D51" s="51"/>
      <c r="F51" s="15" t="str">
        <f>IF(D51=E51, "", "X")</f>
        <v/>
      </c>
      <c r="G51" s="36">
        <f t="shared" si="0"/>
        <v>0</v>
      </c>
      <c r="H51" s="17" t="s">
        <v>267</v>
      </c>
      <c r="J51" s="15" t="s">
        <v>284</v>
      </c>
      <c r="K51" s="36" t="str">
        <f t="shared" si="2"/>
        <v>R</v>
      </c>
      <c r="L51" s="6" t="s">
        <v>268</v>
      </c>
      <c r="M51" s="6" t="s">
        <v>264</v>
      </c>
      <c r="N51" s="15" t="s">
        <v>289</v>
      </c>
      <c r="O51" s="36"/>
    </row>
    <row r="52" spans="1:15">
      <c r="B52" s="50"/>
      <c r="C52" s="12" t="s">
        <v>57</v>
      </c>
      <c r="D52" s="51"/>
      <c r="F52" s="15" t="str">
        <f>IF(D52=E52, "", "X")</f>
        <v/>
      </c>
      <c r="G52" s="36">
        <f t="shared" si="0"/>
        <v>0</v>
      </c>
      <c r="H52" s="17" t="s">
        <v>267</v>
      </c>
      <c r="J52" s="15" t="s">
        <v>285</v>
      </c>
      <c r="K52" s="36" t="str">
        <f t="shared" si="2"/>
        <v>I</v>
      </c>
      <c r="L52" s="6"/>
      <c r="M52" s="6" t="s">
        <v>264</v>
      </c>
      <c r="N52" s="15" t="s">
        <v>289</v>
      </c>
      <c r="O52" s="36"/>
    </row>
    <row r="53" spans="1:15">
      <c r="A53" s="1" t="s">
        <v>91</v>
      </c>
      <c r="B53" s="1" t="s">
        <v>91</v>
      </c>
      <c r="C53" s="12" t="s">
        <v>261</v>
      </c>
      <c r="D53" s="6">
        <v>6</v>
      </c>
      <c r="E53" s="6">
        <v>6</v>
      </c>
      <c r="F53" s="15" t="str">
        <f>IF(D53=E53, "", "X")</f>
        <v/>
      </c>
      <c r="G53" s="36">
        <f t="shared" si="0"/>
        <v>6</v>
      </c>
      <c r="I53" s="17" t="s">
        <v>283</v>
      </c>
      <c r="J53" s="15" t="s">
        <v>302</v>
      </c>
      <c r="K53" s="36" t="str">
        <f t="shared" si="2"/>
        <v>R</v>
      </c>
      <c r="L53" s="6"/>
      <c r="M53" s="6" t="s">
        <v>264</v>
      </c>
      <c r="N53" s="15" t="s">
        <v>289</v>
      </c>
      <c r="O53" s="36"/>
    </row>
    <row r="54" spans="1:15">
      <c r="A54" s="1" t="s">
        <v>91</v>
      </c>
      <c r="B54" s="1" t="s">
        <v>91</v>
      </c>
      <c r="C54" s="12" t="s">
        <v>58</v>
      </c>
      <c r="D54" s="6">
        <v>7</v>
      </c>
      <c r="E54" s="7">
        <v>9</v>
      </c>
      <c r="F54" s="15">
        <v>7</v>
      </c>
      <c r="G54" s="36">
        <f t="shared" si="0"/>
        <v>7</v>
      </c>
      <c r="I54" s="17" t="s">
        <v>293</v>
      </c>
      <c r="J54" s="15" t="s">
        <v>293</v>
      </c>
      <c r="K54" s="36" t="str">
        <f t="shared" si="2"/>
        <v>I</v>
      </c>
      <c r="L54" s="6" t="s">
        <v>268</v>
      </c>
      <c r="M54" s="6" t="s">
        <v>313</v>
      </c>
      <c r="N54" s="15" t="s">
        <v>316</v>
      </c>
      <c r="O54" s="36"/>
    </row>
    <row r="55" spans="1:15">
      <c r="A55" s="1" t="s">
        <v>3</v>
      </c>
      <c r="B55" s="1" t="s">
        <v>8</v>
      </c>
      <c r="C55" s="12" t="s">
        <v>33</v>
      </c>
      <c r="D55" s="6">
        <v>2</v>
      </c>
      <c r="E55" s="6">
        <v>2</v>
      </c>
      <c r="F55" s="15" t="str">
        <f>IF(D55=E55, "", "X")</f>
        <v/>
      </c>
      <c r="G55" s="36">
        <f t="shared" si="0"/>
        <v>2</v>
      </c>
      <c r="I55" s="17" t="s">
        <v>280</v>
      </c>
      <c r="J55" s="15" t="s">
        <v>302</v>
      </c>
      <c r="K55" s="36" t="str">
        <f t="shared" si="2"/>
        <v>R</v>
      </c>
      <c r="L55" s="6" t="s">
        <v>268</v>
      </c>
      <c r="M55" s="6">
        <v>99</v>
      </c>
      <c r="N55" s="15">
        <v>99</v>
      </c>
      <c r="O55" s="36"/>
    </row>
    <row r="56" spans="1:15">
      <c r="A56" s="1" t="s">
        <v>91</v>
      </c>
      <c r="B56" s="1" t="s">
        <v>91</v>
      </c>
      <c r="C56" s="12" t="s">
        <v>59</v>
      </c>
      <c r="D56" s="6">
        <v>5</v>
      </c>
      <c r="E56" s="7">
        <v>6</v>
      </c>
      <c r="F56" s="15">
        <v>6</v>
      </c>
      <c r="G56" s="36">
        <f t="shared" si="0"/>
        <v>6</v>
      </c>
      <c r="I56" s="17" t="s">
        <v>297</v>
      </c>
      <c r="J56" s="15" t="s">
        <v>302</v>
      </c>
      <c r="K56" s="36" t="str">
        <f t="shared" si="2"/>
        <v>R</v>
      </c>
      <c r="L56" s="6"/>
      <c r="M56" s="6">
        <v>99</v>
      </c>
      <c r="N56" s="15">
        <v>99</v>
      </c>
      <c r="O56" s="36"/>
    </row>
    <row r="57" spans="1:15">
      <c r="A57" s="1" t="s">
        <v>91</v>
      </c>
      <c r="B57" s="1" t="s">
        <v>91</v>
      </c>
      <c r="C57" s="12" t="s">
        <v>317</v>
      </c>
      <c r="F57" s="15">
        <v>4</v>
      </c>
      <c r="G57" s="36">
        <f t="shared" si="0"/>
        <v>0</v>
      </c>
      <c r="J57" s="15" t="str">
        <f>IF(H58=I58, "", "X")</f>
        <v/>
      </c>
      <c r="K57" s="36">
        <f t="shared" si="2"/>
        <v>0</v>
      </c>
      <c r="L57" s="6">
        <v>99</v>
      </c>
      <c r="M57" s="6" t="s">
        <v>266</v>
      </c>
      <c r="N57" s="15" t="s">
        <v>316</v>
      </c>
      <c r="O57" s="36"/>
    </row>
    <row r="58" spans="1:15">
      <c r="A58" s="1" t="s">
        <v>91</v>
      </c>
      <c r="B58" s="1" t="s">
        <v>2</v>
      </c>
      <c r="C58" s="12" t="s">
        <v>318</v>
      </c>
      <c r="D58" s="6">
        <v>9</v>
      </c>
      <c r="E58" s="6">
        <v>7</v>
      </c>
      <c r="F58" s="15">
        <v>9</v>
      </c>
      <c r="G58" s="36">
        <f t="shared" si="0"/>
        <v>9</v>
      </c>
      <c r="H58" s="17" t="s">
        <v>278</v>
      </c>
      <c r="I58" s="17" t="s">
        <v>285</v>
      </c>
      <c r="J58" s="15"/>
      <c r="K58" s="36" t="str">
        <f t="shared" si="2"/>
        <v>I</v>
      </c>
      <c r="N58" s="24" t="s">
        <v>269</v>
      </c>
      <c r="O58" s="36"/>
    </row>
    <row r="59" spans="1:15">
      <c r="A59" s="1" t="s">
        <v>3</v>
      </c>
      <c r="B59" s="1" t="s">
        <v>8</v>
      </c>
      <c r="C59" s="12" t="s">
        <v>60</v>
      </c>
      <c r="D59" s="6">
        <v>6</v>
      </c>
      <c r="E59" s="6">
        <v>3</v>
      </c>
      <c r="F59" s="15">
        <v>6</v>
      </c>
      <c r="G59" s="36">
        <f t="shared" si="0"/>
        <v>6</v>
      </c>
      <c r="H59" s="17" t="s">
        <v>267</v>
      </c>
      <c r="I59" s="17" t="s">
        <v>281</v>
      </c>
      <c r="J59" s="15" t="str">
        <f t="shared" si="5"/>
        <v/>
      </c>
      <c r="K59" s="36" t="str">
        <f t="shared" si="2"/>
        <v>R</v>
      </c>
      <c r="L59" s="6" t="s">
        <v>268</v>
      </c>
      <c r="M59" s="6" t="s">
        <v>308</v>
      </c>
      <c r="N59" s="24" t="s">
        <v>269</v>
      </c>
      <c r="O59" s="36"/>
    </row>
    <row r="60" spans="1:15">
      <c r="A60" s="1" t="s">
        <v>91</v>
      </c>
      <c r="B60" s="1" t="s">
        <v>91</v>
      </c>
      <c r="C60" s="12" t="s">
        <v>63</v>
      </c>
      <c r="D60" s="6">
        <v>6</v>
      </c>
      <c r="E60" s="6">
        <v>4</v>
      </c>
      <c r="F60" s="15">
        <v>4</v>
      </c>
      <c r="G60" s="36">
        <f t="shared" si="0"/>
        <v>4</v>
      </c>
      <c r="I60" s="17" t="s">
        <v>294</v>
      </c>
      <c r="J60" s="15"/>
      <c r="K60" s="36">
        <f t="shared" si="2"/>
        <v>0</v>
      </c>
      <c r="L60" s="6" t="s">
        <v>268</v>
      </c>
      <c r="M60" s="6" t="s">
        <v>308</v>
      </c>
      <c r="N60" s="24" t="s">
        <v>269</v>
      </c>
      <c r="O60" s="36"/>
    </row>
    <row r="61" spans="1:15">
      <c r="A61" s="1" t="s">
        <v>91</v>
      </c>
      <c r="B61" s="1" t="s">
        <v>91</v>
      </c>
      <c r="C61" s="12" t="s">
        <v>61</v>
      </c>
      <c r="D61" s="6">
        <v>8</v>
      </c>
      <c r="E61" s="6">
        <v>7</v>
      </c>
      <c r="F61" s="15">
        <v>8</v>
      </c>
      <c r="G61" s="36">
        <f t="shared" si="0"/>
        <v>8</v>
      </c>
      <c r="H61" s="17" t="s">
        <v>278</v>
      </c>
      <c r="I61" s="17" t="s">
        <v>285</v>
      </c>
      <c r="J61" s="15" t="str">
        <f t="shared" si="5"/>
        <v/>
      </c>
      <c r="K61" s="36" t="str">
        <f t="shared" si="2"/>
        <v>I</v>
      </c>
      <c r="L61" s="6" t="s">
        <v>268</v>
      </c>
      <c r="M61" s="6" t="s">
        <v>308</v>
      </c>
      <c r="N61" s="24" t="s">
        <v>269</v>
      </c>
      <c r="O61" s="36"/>
    </row>
    <row r="62" spans="1:15">
      <c r="A62" s="39" t="s">
        <v>378</v>
      </c>
      <c r="B62" s="1" t="s">
        <v>65</v>
      </c>
      <c r="C62" s="12" t="s">
        <v>62</v>
      </c>
      <c r="D62" s="6">
        <v>3</v>
      </c>
      <c r="E62" s="6">
        <v>3</v>
      </c>
      <c r="F62" s="15" t="str">
        <f>IF(D62=E62, "", "X")</f>
        <v/>
      </c>
      <c r="G62" s="36">
        <f t="shared" si="0"/>
        <v>3</v>
      </c>
      <c r="H62" s="17" t="s">
        <v>267</v>
      </c>
      <c r="I62" s="17" t="s">
        <v>280</v>
      </c>
      <c r="J62" s="15" t="str">
        <f t="shared" si="5"/>
        <v/>
      </c>
      <c r="K62" s="36" t="str">
        <f t="shared" si="2"/>
        <v>R</v>
      </c>
      <c r="L62" s="6" t="s">
        <v>268</v>
      </c>
      <c r="M62" s="6" t="s">
        <v>308</v>
      </c>
      <c r="N62" s="24" t="s">
        <v>269</v>
      </c>
      <c r="O62" s="36"/>
    </row>
    <row r="63" spans="1:15">
      <c r="A63" s="1" t="s">
        <v>91</v>
      </c>
      <c r="B63" s="1" t="s">
        <v>91</v>
      </c>
      <c r="C63" s="12" t="s">
        <v>67</v>
      </c>
      <c r="D63" s="6">
        <v>2</v>
      </c>
      <c r="E63" s="7">
        <v>4</v>
      </c>
      <c r="F63" s="15">
        <v>2</v>
      </c>
      <c r="G63" s="36">
        <f t="shared" si="0"/>
        <v>2</v>
      </c>
      <c r="I63" s="17" t="s">
        <v>298</v>
      </c>
      <c r="J63" s="15" t="s">
        <v>320</v>
      </c>
      <c r="K63" s="36" t="str">
        <f t="shared" si="2"/>
        <v>N</v>
      </c>
      <c r="L63" s="6" t="s">
        <v>268</v>
      </c>
      <c r="M63" s="6" t="s">
        <v>263</v>
      </c>
      <c r="N63" s="15">
        <v>99</v>
      </c>
      <c r="O63" s="36"/>
    </row>
    <row r="64" spans="1:15">
      <c r="A64" s="1" t="s">
        <v>3</v>
      </c>
      <c r="B64" s="1" t="s">
        <v>68</v>
      </c>
      <c r="C64" s="12" t="s">
        <v>69</v>
      </c>
      <c r="D64" s="6">
        <v>2</v>
      </c>
      <c r="E64" s="6">
        <v>2</v>
      </c>
      <c r="F64" s="15" t="str">
        <f>IF(D64=E64, "", "X")</f>
        <v/>
      </c>
      <c r="G64" s="36">
        <f t="shared" si="0"/>
        <v>2</v>
      </c>
      <c r="I64" s="17" t="s">
        <v>280</v>
      </c>
      <c r="J64" s="15" t="s">
        <v>302</v>
      </c>
      <c r="K64" s="36" t="str">
        <f t="shared" si="2"/>
        <v>R</v>
      </c>
      <c r="L64" s="6">
        <v>99</v>
      </c>
      <c r="M64" s="6" t="s">
        <v>314</v>
      </c>
      <c r="N64" s="15">
        <v>99</v>
      </c>
      <c r="O64" s="36"/>
    </row>
    <row r="65" spans="1:16">
      <c r="A65" s="39" t="s">
        <v>378</v>
      </c>
      <c r="B65" s="1" t="s">
        <v>70</v>
      </c>
      <c r="C65" s="12" t="s">
        <v>71</v>
      </c>
      <c r="D65" s="6">
        <v>2</v>
      </c>
      <c r="E65" s="6">
        <v>5</v>
      </c>
      <c r="F65" s="15">
        <v>2</v>
      </c>
      <c r="G65" s="36">
        <f t="shared" si="0"/>
        <v>2</v>
      </c>
      <c r="I65" s="17" t="s">
        <v>280</v>
      </c>
      <c r="J65" s="15" t="s">
        <v>302</v>
      </c>
      <c r="K65" s="36" t="str">
        <f t="shared" si="2"/>
        <v>R</v>
      </c>
      <c r="L65" s="6"/>
      <c r="M65" s="6" t="s">
        <v>315</v>
      </c>
      <c r="N65" s="15">
        <v>99</v>
      </c>
      <c r="O65" s="36"/>
    </row>
    <row r="66" spans="1:16">
      <c r="A66" s="1" t="s">
        <v>3</v>
      </c>
      <c r="B66" s="1" t="s">
        <v>72</v>
      </c>
      <c r="C66" s="12" t="s">
        <v>73</v>
      </c>
      <c r="D66" s="6">
        <v>2</v>
      </c>
      <c r="E66" s="6">
        <v>2</v>
      </c>
      <c r="F66" s="15" t="str">
        <f>IF(D66=E66, "", "X")</f>
        <v/>
      </c>
      <c r="G66" s="36">
        <f t="shared" si="0"/>
        <v>2</v>
      </c>
      <c r="I66" s="17" t="s">
        <v>280</v>
      </c>
      <c r="J66" s="15" t="s">
        <v>302</v>
      </c>
      <c r="K66" s="36" t="str">
        <f t="shared" si="2"/>
        <v>R</v>
      </c>
      <c r="L66" s="6"/>
      <c r="M66" s="6" t="s">
        <v>315</v>
      </c>
      <c r="N66" s="15">
        <v>99</v>
      </c>
      <c r="O66" s="36"/>
    </row>
    <row r="67" spans="1:16" ht="30">
      <c r="A67" s="1" t="s">
        <v>91</v>
      </c>
      <c r="B67" s="1" t="s">
        <v>91</v>
      </c>
      <c r="C67" s="12" t="s">
        <v>74</v>
      </c>
      <c r="D67" s="6">
        <v>4</v>
      </c>
      <c r="E67" s="6">
        <v>8</v>
      </c>
      <c r="F67" s="15">
        <v>8</v>
      </c>
      <c r="G67" s="36">
        <f t="shared" ref="G67:G130" si="6">IF(D67=E67,E67, F67)</f>
        <v>8</v>
      </c>
      <c r="H67" s="17" t="s">
        <v>278</v>
      </c>
      <c r="I67" s="17" t="s">
        <v>285</v>
      </c>
      <c r="J67" s="15" t="str">
        <f t="shared" si="5"/>
        <v/>
      </c>
      <c r="K67" s="36" t="str">
        <f t="shared" si="2"/>
        <v>I</v>
      </c>
      <c r="L67" s="6"/>
      <c r="M67" s="6" t="s">
        <v>266</v>
      </c>
      <c r="N67" s="15" t="s">
        <v>329</v>
      </c>
      <c r="O67" s="36"/>
    </row>
    <row r="68" spans="1:16">
      <c r="A68" s="39" t="s">
        <v>378</v>
      </c>
      <c r="B68" s="1" t="s">
        <v>76</v>
      </c>
      <c r="C68" s="12" t="s">
        <v>77</v>
      </c>
      <c r="E68" s="6">
        <v>3</v>
      </c>
      <c r="F68" s="15">
        <v>6</v>
      </c>
      <c r="G68" s="36">
        <f t="shared" si="6"/>
        <v>6</v>
      </c>
      <c r="H68" s="17" t="s">
        <v>267</v>
      </c>
      <c r="I68" s="17" t="s">
        <v>280</v>
      </c>
      <c r="J68" s="15" t="str">
        <f t="shared" si="5"/>
        <v/>
      </c>
      <c r="K68" s="36" t="str">
        <f t="shared" ref="K68:K131" si="7">IF(H68=I68,I68, J68)</f>
        <v>R</v>
      </c>
      <c r="L68" s="6" t="s">
        <v>262</v>
      </c>
      <c r="M68" s="6" t="s">
        <v>266</v>
      </c>
      <c r="N68" s="15" t="str">
        <f t="shared" ref="N68:N121" si="8">IF(L68=M68, "", "X")</f>
        <v/>
      </c>
      <c r="O68" s="36"/>
    </row>
    <row r="69" spans="1:16">
      <c r="A69" s="1" t="s">
        <v>91</v>
      </c>
      <c r="B69" s="1" t="s">
        <v>78</v>
      </c>
      <c r="C69" s="12" t="s">
        <v>79</v>
      </c>
      <c r="E69" s="6">
        <v>7</v>
      </c>
      <c r="F69" s="15">
        <v>7</v>
      </c>
      <c r="G69" s="36">
        <f t="shared" si="6"/>
        <v>7</v>
      </c>
      <c r="H69" s="17" t="s">
        <v>278</v>
      </c>
      <c r="I69" s="17" t="s">
        <v>285</v>
      </c>
      <c r="J69" s="15" t="str">
        <f t="shared" si="5"/>
        <v/>
      </c>
      <c r="K69" s="36" t="str">
        <f t="shared" si="7"/>
        <v>I</v>
      </c>
      <c r="L69" s="6" t="s">
        <v>262</v>
      </c>
      <c r="M69" s="23" t="s">
        <v>262</v>
      </c>
      <c r="N69" s="15" t="str">
        <f t="shared" si="8"/>
        <v/>
      </c>
      <c r="O69" s="36"/>
    </row>
    <row r="70" spans="1:16">
      <c r="A70" s="39" t="s">
        <v>378</v>
      </c>
      <c r="B70" s="1" t="s">
        <v>75</v>
      </c>
      <c r="C70" s="12" t="s">
        <v>80</v>
      </c>
      <c r="E70" s="6">
        <v>2</v>
      </c>
      <c r="F70" s="15">
        <v>5</v>
      </c>
      <c r="G70" s="36">
        <f t="shared" si="6"/>
        <v>5</v>
      </c>
      <c r="H70" s="17" t="s">
        <v>267</v>
      </c>
      <c r="I70" s="17" t="s">
        <v>280</v>
      </c>
      <c r="J70" s="15" t="str">
        <f t="shared" si="5"/>
        <v/>
      </c>
      <c r="K70" s="36" t="str">
        <f t="shared" si="7"/>
        <v>R</v>
      </c>
      <c r="L70" s="6" t="s">
        <v>262</v>
      </c>
      <c r="M70" s="6">
        <v>99</v>
      </c>
      <c r="N70" s="15" t="s">
        <v>329</v>
      </c>
      <c r="O70" s="36"/>
    </row>
    <row r="71" spans="1:16">
      <c r="A71" s="1" t="s">
        <v>91</v>
      </c>
      <c r="B71" s="1" t="s">
        <v>78</v>
      </c>
      <c r="C71" s="12" t="s">
        <v>81</v>
      </c>
      <c r="D71" s="6">
        <v>4</v>
      </c>
      <c r="E71" s="6">
        <v>6</v>
      </c>
      <c r="F71" s="15">
        <v>7</v>
      </c>
      <c r="G71" s="36">
        <f t="shared" si="6"/>
        <v>7</v>
      </c>
      <c r="H71" s="17" t="s">
        <v>277</v>
      </c>
      <c r="I71" s="17" t="s">
        <v>282</v>
      </c>
      <c r="J71" s="15" t="str">
        <f t="shared" si="5"/>
        <v/>
      </c>
      <c r="K71" s="36" t="str">
        <f t="shared" si="7"/>
        <v>W</v>
      </c>
      <c r="L71" s="6" t="s">
        <v>262</v>
      </c>
      <c r="M71" s="6">
        <v>99</v>
      </c>
      <c r="N71" s="15" t="s">
        <v>329</v>
      </c>
      <c r="O71" s="36"/>
    </row>
    <row r="72" spans="1:16" ht="30">
      <c r="A72" s="1" t="s">
        <v>91</v>
      </c>
      <c r="B72" s="1" t="s">
        <v>78</v>
      </c>
      <c r="C72" s="12" t="s">
        <v>85</v>
      </c>
      <c r="D72" s="6">
        <v>2</v>
      </c>
      <c r="E72" s="6">
        <v>6</v>
      </c>
      <c r="F72" s="15">
        <v>2</v>
      </c>
      <c r="G72" s="36">
        <f t="shared" si="6"/>
        <v>2</v>
      </c>
      <c r="I72" s="17" t="s">
        <v>299</v>
      </c>
      <c r="J72" s="15"/>
      <c r="K72" s="36">
        <f t="shared" si="7"/>
        <v>0</v>
      </c>
      <c r="L72" s="6" t="s">
        <v>262</v>
      </c>
      <c r="M72" s="6">
        <v>99</v>
      </c>
      <c r="N72" s="15" t="s">
        <v>329</v>
      </c>
      <c r="O72" s="36"/>
    </row>
    <row r="73" spans="1:16" s="5" customFormat="1">
      <c r="A73" s="1" t="s">
        <v>91</v>
      </c>
      <c r="B73" s="4" t="s">
        <v>2</v>
      </c>
      <c r="C73" s="12" t="s">
        <v>96</v>
      </c>
      <c r="D73" s="9">
        <v>8</v>
      </c>
      <c r="E73" s="9">
        <v>8</v>
      </c>
      <c r="F73" s="15" t="str">
        <f t="shared" ref="F73:F88" si="9">IF(D73=E73, "", "X")</f>
        <v/>
      </c>
      <c r="G73" s="36">
        <f t="shared" si="6"/>
        <v>8</v>
      </c>
      <c r="H73" s="18" t="s">
        <v>278</v>
      </c>
      <c r="I73" s="18" t="s">
        <v>294</v>
      </c>
      <c r="J73" s="15" t="s">
        <v>293</v>
      </c>
      <c r="K73" s="36" t="str">
        <f t="shared" si="7"/>
        <v>I</v>
      </c>
      <c r="L73" s="9" t="s">
        <v>290</v>
      </c>
      <c r="M73" s="6" t="s">
        <v>266</v>
      </c>
      <c r="N73" s="15" t="s">
        <v>329</v>
      </c>
      <c r="O73" s="36"/>
      <c r="P73" s="9"/>
    </row>
    <row r="74" spans="1:16" s="46" customFormat="1" ht="60">
      <c r="A74" s="40" t="s">
        <v>94</v>
      </c>
      <c r="B74" s="40" t="s">
        <v>95</v>
      </c>
      <c r="C74" s="41" t="s">
        <v>272</v>
      </c>
      <c r="D74" s="42">
        <v>8</v>
      </c>
      <c r="E74" s="42">
        <v>8</v>
      </c>
      <c r="F74" s="43" t="str">
        <f t="shared" si="9"/>
        <v/>
      </c>
      <c r="G74" s="44">
        <f t="shared" si="6"/>
        <v>8</v>
      </c>
      <c r="H74" s="45" t="s">
        <v>278</v>
      </c>
      <c r="I74" s="45" t="s">
        <v>296</v>
      </c>
      <c r="J74" s="43" t="str">
        <f t="shared" si="5"/>
        <v/>
      </c>
      <c r="K74" s="44" t="str">
        <f t="shared" si="7"/>
        <v>I</v>
      </c>
      <c r="L74" s="42" t="s">
        <v>262</v>
      </c>
      <c r="M74" s="42" t="s">
        <v>368</v>
      </c>
      <c r="N74" s="43" t="s">
        <v>330</v>
      </c>
      <c r="O74" s="44"/>
      <c r="P74" s="42"/>
    </row>
    <row r="75" spans="1:16">
      <c r="A75" s="39" t="s">
        <v>378</v>
      </c>
      <c r="B75" s="1" t="s">
        <v>160</v>
      </c>
      <c r="C75" s="11" t="s">
        <v>161</v>
      </c>
      <c r="D75" s="9">
        <v>2</v>
      </c>
      <c r="E75" s="6">
        <v>2</v>
      </c>
      <c r="F75" s="15" t="str">
        <f t="shared" si="9"/>
        <v/>
      </c>
      <c r="G75" s="36">
        <f t="shared" si="6"/>
        <v>2</v>
      </c>
      <c r="H75" s="17" t="s">
        <v>267</v>
      </c>
      <c r="I75" s="17" t="s">
        <v>280</v>
      </c>
      <c r="J75" s="15" t="str">
        <f t="shared" si="5"/>
        <v/>
      </c>
      <c r="K75" s="36" t="str">
        <f t="shared" si="7"/>
        <v>R</v>
      </c>
      <c r="L75" s="6" t="s">
        <v>262</v>
      </c>
      <c r="M75" s="6">
        <v>99</v>
      </c>
      <c r="N75" s="15" t="s">
        <v>308</v>
      </c>
      <c r="O75" s="36"/>
    </row>
    <row r="76" spans="1:16">
      <c r="A76" s="39" t="s">
        <v>378</v>
      </c>
      <c r="B76" s="1" t="s">
        <v>97</v>
      </c>
      <c r="C76" s="11" t="s">
        <v>98</v>
      </c>
      <c r="D76" s="9">
        <v>4</v>
      </c>
      <c r="E76" s="6">
        <v>4</v>
      </c>
      <c r="F76" s="15" t="str">
        <f t="shared" si="9"/>
        <v/>
      </c>
      <c r="G76" s="36">
        <f t="shared" si="6"/>
        <v>4</v>
      </c>
      <c r="H76" s="17" t="s">
        <v>267</v>
      </c>
      <c r="I76" s="17" t="s">
        <v>280</v>
      </c>
      <c r="J76" s="15" t="str">
        <f t="shared" si="5"/>
        <v/>
      </c>
      <c r="K76" s="36" t="str">
        <f t="shared" si="7"/>
        <v>R</v>
      </c>
      <c r="L76" s="6">
        <v>99</v>
      </c>
      <c r="M76" s="6" t="s">
        <v>264</v>
      </c>
      <c r="N76" s="15" t="s">
        <v>369</v>
      </c>
      <c r="O76" s="36"/>
    </row>
    <row r="77" spans="1:16">
      <c r="A77" s="1" t="s">
        <v>91</v>
      </c>
      <c r="B77" s="1" t="s">
        <v>2</v>
      </c>
      <c r="C77" s="12" t="s">
        <v>162</v>
      </c>
      <c r="D77" s="9">
        <v>8</v>
      </c>
      <c r="E77" s="6">
        <v>8</v>
      </c>
      <c r="F77" s="15" t="str">
        <f t="shared" si="9"/>
        <v/>
      </c>
      <c r="G77" s="36">
        <f t="shared" si="6"/>
        <v>8</v>
      </c>
      <c r="H77" s="17" t="s">
        <v>278</v>
      </c>
      <c r="I77" s="17" t="s">
        <v>300</v>
      </c>
      <c r="J77" s="15" t="str">
        <f t="shared" si="5"/>
        <v/>
      </c>
      <c r="K77" s="36" t="str">
        <f t="shared" si="7"/>
        <v>I</v>
      </c>
      <c r="L77" s="6" t="s">
        <v>289</v>
      </c>
      <c r="M77" s="6" t="s">
        <v>266</v>
      </c>
      <c r="N77" s="15" t="s">
        <v>329</v>
      </c>
      <c r="O77" s="36"/>
    </row>
    <row r="78" spans="1:16">
      <c r="A78" s="39" t="s">
        <v>378</v>
      </c>
      <c r="B78" s="1" t="s">
        <v>160</v>
      </c>
      <c r="C78" s="12" t="s">
        <v>163</v>
      </c>
      <c r="D78" s="9">
        <v>2</v>
      </c>
      <c r="E78" s="6">
        <v>2</v>
      </c>
      <c r="F78" s="15" t="str">
        <f t="shared" si="9"/>
        <v/>
      </c>
      <c r="G78" s="36">
        <f t="shared" si="6"/>
        <v>2</v>
      </c>
      <c r="H78" s="17" t="s">
        <v>267</v>
      </c>
      <c r="I78" s="17" t="s">
        <v>280</v>
      </c>
      <c r="J78" s="15" t="str">
        <f t="shared" si="5"/>
        <v/>
      </c>
      <c r="K78" s="36" t="str">
        <f t="shared" si="7"/>
        <v>R</v>
      </c>
      <c r="L78" s="6" t="s">
        <v>262</v>
      </c>
      <c r="M78" s="6">
        <v>99</v>
      </c>
      <c r="N78" s="15" t="s">
        <v>329</v>
      </c>
      <c r="O78" s="36"/>
    </row>
    <row r="79" spans="1:16">
      <c r="A79" s="39" t="s">
        <v>378</v>
      </c>
      <c r="B79" s="1" t="s">
        <v>97</v>
      </c>
      <c r="C79" s="12" t="s">
        <v>99</v>
      </c>
      <c r="D79" s="9">
        <v>9</v>
      </c>
      <c r="E79" s="6">
        <v>9</v>
      </c>
      <c r="F79" s="15" t="str">
        <f t="shared" si="9"/>
        <v/>
      </c>
      <c r="G79" s="36">
        <f t="shared" si="6"/>
        <v>9</v>
      </c>
      <c r="H79" s="17" t="s">
        <v>278</v>
      </c>
      <c r="I79" s="17" t="s">
        <v>280</v>
      </c>
      <c r="J79" s="15" t="s">
        <v>285</v>
      </c>
      <c r="K79" s="36" t="str">
        <f t="shared" si="7"/>
        <v>I</v>
      </c>
      <c r="L79" s="6">
        <v>99</v>
      </c>
      <c r="M79" s="6" t="s">
        <v>307</v>
      </c>
      <c r="N79" s="15" t="s">
        <v>331</v>
      </c>
      <c r="O79" s="36"/>
    </row>
    <row r="80" spans="1:16">
      <c r="A80" s="39" t="s">
        <v>378</v>
      </c>
      <c r="B80" s="1" t="s">
        <v>97</v>
      </c>
      <c r="C80" s="12" t="s">
        <v>164</v>
      </c>
      <c r="D80" s="9">
        <v>4</v>
      </c>
      <c r="E80" s="6">
        <v>4</v>
      </c>
      <c r="F80" s="15" t="str">
        <f t="shared" si="9"/>
        <v/>
      </c>
      <c r="G80" s="36">
        <f t="shared" si="6"/>
        <v>4</v>
      </c>
      <c r="H80" s="17" t="s">
        <v>267</v>
      </c>
      <c r="I80" s="17" t="s">
        <v>280</v>
      </c>
      <c r="J80" s="15" t="str">
        <f t="shared" si="5"/>
        <v/>
      </c>
      <c r="K80" s="36" t="str">
        <f t="shared" si="7"/>
        <v>R</v>
      </c>
      <c r="L80" s="6" t="s">
        <v>268</v>
      </c>
      <c r="M80" s="6" t="s">
        <v>307</v>
      </c>
      <c r="N80" s="15" t="s">
        <v>331</v>
      </c>
      <c r="O80" s="36"/>
    </row>
    <row r="81" spans="1:16">
      <c r="A81" s="1" t="s">
        <v>91</v>
      </c>
      <c r="B81" s="1" t="s">
        <v>2</v>
      </c>
      <c r="C81" s="12" t="s">
        <v>165</v>
      </c>
      <c r="D81" s="9">
        <v>4</v>
      </c>
      <c r="E81" s="6">
        <v>4</v>
      </c>
      <c r="F81" s="15" t="str">
        <f t="shared" si="9"/>
        <v/>
      </c>
      <c r="G81" s="36">
        <f t="shared" si="6"/>
        <v>4</v>
      </c>
      <c r="H81" s="17" t="s">
        <v>278</v>
      </c>
      <c r="I81" s="17" t="s">
        <v>285</v>
      </c>
      <c r="J81" s="15" t="str">
        <f t="shared" ref="J81:J144" si="10">IF(H81=I81, "", "X")</f>
        <v/>
      </c>
      <c r="K81" s="36" t="str">
        <f t="shared" si="7"/>
        <v>I</v>
      </c>
      <c r="L81" s="6" t="s">
        <v>268</v>
      </c>
      <c r="M81" s="6" t="s">
        <v>307</v>
      </c>
      <c r="N81" s="15" t="s">
        <v>331</v>
      </c>
      <c r="O81" s="36"/>
    </row>
    <row r="82" spans="1:16">
      <c r="A82" s="1" t="s">
        <v>3</v>
      </c>
      <c r="B82" s="1" t="s">
        <v>100</v>
      </c>
      <c r="C82" s="12" t="s">
        <v>101</v>
      </c>
      <c r="D82" s="6">
        <v>6</v>
      </c>
      <c r="E82" s="6">
        <v>6</v>
      </c>
      <c r="F82" s="15" t="str">
        <f t="shared" si="9"/>
        <v/>
      </c>
      <c r="G82" s="36">
        <f t="shared" si="6"/>
        <v>6</v>
      </c>
      <c r="H82" s="17" t="s">
        <v>267</v>
      </c>
      <c r="I82" s="17" t="s">
        <v>281</v>
      </c>
      <c r="J82" s="15" t="str">
        <f t="shared" si="10"/>
        <v/>
      </c>
      <c r="K82" s="36" t="str">
        <f t="shared" si="7"/>
        <v>R</v>
      </c>
      <c r="L82" s="6" t="s">
        <v>262</v>
      </c>
      <c r="M82" s="6" t="s">
        <v>307</v>
      </c>
      <c r="N82" s="15" t="s">
        <v>331</v>
      </c>
      <c r="O82" s="36"/>
    </row>
    <row r="83" spans="1:16">
      <c r="A83" s="1" t="s">
        <v>91</v>
      </c>
      <c r="B83" s="1" t="s">
        <v>2</v>
      </c>
      <c r="C83" s="12" t="s">
        <v>166</v>
      </c>
      <c r="D83" s="6">
        <v>7</v>
      </c>
      <c r="E83" s="6">
        <v>7</v>
      </c>
      <c r="F83" s="15" t="str">
        <f t="shared" si="9"/>
        <v/>
      </c>
      <c r="G83" s="36">
        <f t="shared" si="6"/>
        <v>7</v>
      </c>
      <c r="H83" s="17" t="s">
        <v>278</v>
      </c>
      <c r="I83" s="17" t="s">
        <v>285</v>
      </c>
      <c r="J83" s="15" t="str">
        <f t="shared" si="10"/>
        <v/>
      </c>
      <c r="K83" s="36" t="str">
        <f t="shared" si="7"/>
        <v>I</v>
      </c>
      <c r="L83" s="6" t="s">
        <v>262</v>
      </c>
      <c r="M83" s="6" t="s">
        <v>307</v>
      </c>
      <c r="N83" s="15" t="s">
        <v>369</v>
      </c>
      <c r="O83" s="36"/>
    </row>
    <row r="84" spans="1:16">
      <c r="A84" s="39" t="s">
        <v>378</v>
      </c>
      <c r="B84" s="1" t="s">
        <v>160</v>
      </c>
      <c r="C84" s="12" t="s">
        <v>86</v>
      </c>
      <c r="D84" s="6">
        <v>3</v>
      </c>
      <c r="E84" s="6">
        <v>3</v>
      </c>
      <c r="F84" s="15" t="str">
        <f t="shared" si="9"/>
        <v/>
      </c>
      <c r="G84" s="36">
        <f t="shared" si="6"/>
        <v>3</v>
      </c>
      <c r="H84" s="17" t="s">
        <v>267</v>
      </c>
      <c r="I84" s="17" t="s">
        <v>280</v>
      </c>
      <c r="J84" s="15" t="str">
        <f t="shared" si="10"/>
        <v/>
      </c>
      <c r="K84" s="36" t="str">
        <f t="shared" si="7"/>
        <v>R</v>
      </c>
      <c r="L84" s="6" t="s">
        <v>268</v>
      </c>
      <c r="M84" s="6" t="s">
        <v>307</v>
      </c>
      <c r="N84" s="15" t="s">
        <v>369</v>
      </c>
      <c r="O84" s="36"/>
    </row>
    <row r="85" spans="1:16">
      <c r="A85" s="39" t="s">
        <v>378</v>
      </c>
      <c r="B85" s="1" t="s">
        <v>1</v>
      </c>
      <c r="C85" s="12" t="s">
        <v>167</v>
      </c>
      <c r="D85" s="6">
        <v>7</v>
      </c>
      <c r="E85" s="6">
        <v>7</v>
      </c>
      <c r="F85" s="15" t="str">
        <f t="shared" si="9"/>
        <v/>
      </c>
      <c r="G85" s="36">
        <f t="shared" si="6"/>
        <v>7</v>
      </c>
      <c r="H85" s="17" t="s">
        <v>278</v>
      </c>
      <c r="I85" s="17" t="s">
        <v>281</v>
      </c>
      <c r="J85" s="15" t="s">
        <v>293</v>
      </c>
      <c r="K85" s="36" t="str">
        <f t="shared" si="7"/>
        <v>I</v>
      </c>
      <c r="L85" s="6" t="s">
        <v>268</v>
      </c>
      <c r="M85" s="6" t="s">
        <v>287</v>
      </c>
      <c r="N85" s="15" t="s">
        <v>287</v>
      </c>
      <c r="O85" s="36"/>
    </row>
    <row r="86" spans="1:16">
      <c r="A86" s="1" t="s">
        <v>91</v>
      </c>
      <c r="B86" s="1" t="s">
        <v>2</v>
      </c>
      <c r="C86" s="12" t="s">
        <v>168</v>
      </c>
      <c r="D86" s="6">
        <v>6</v>
      </c>
      <c r="E86" s="6">
        <v>6</v>
      </c>
      <c r="F86" s="15" t="str">
        <f t="shared" si="9"/>
        <v/>
      </c>
      <c r="G86" s="36">
        <f t="shared" si="6"/>
        <v>6</v>
      </c>
      <c r="H86" s="17" t="s">
        <v>267</v>
      </c>
      <c r="I86" s="17" t="s">
        <v>281</v>
      </c>
      <c r="J86" s="15" t="str">
        <f t="shared" si="10"/>
        <v/>
      </c>
      <c r="K86" s="36" t="str">
        <f t="shared" si="7"/>
        <v>R</v>
      </c>
      <c r="L86" s="6" t="s">
        <v>289</v>
      </c>
      <c r="M86" s="6" t="s">
        <v>287</v>
      </c>
      <c r="N86" s="15" t="s">
        <v>287</v>
      </c>
      <c r="O86" s="36"/>
    </row>
    <row r="87" spans="1:16" s="27" customFormat="1">
      <c r="A87" s="1" t="s">
        <v>91</v>
      </c>
      <c r="B87" s="1" t="s">
        <v>2</v>
      </c>
      <c r="C87" s="12" t="s">
        <v>169</v>
      </c>
      <c r="D87" s="7">
        <v>7</v>
      </c>
      <c r="E87" s="7">
        <v>7</v>
      </c>
      <c r="F87" s="25" t="str">
        <f t="shared" si="9"/>
        <v/>
      </c>
      <c r="G87" s="36">
        <f t="shared" si="6"/>
        <v>7</v>
      </c>
      <c r="H87" s="26" t="s">
        <v>278</v>
      </c>
      <c r="I87" s="26" t="s">
        <v>295</v>
      </c>
      <c r="J87" s="25" t="str">
        <f t="shared" si="10"/>
        <v/>
      </c>
      <c r="K87" s="36" t="str">
        <f t="shared" si="7"/>
        <v>I</v>
      </c>
      <c r="L87" s="7" t="s">
        <v>289</v>
      </c>
      <c r="M87" s="7" t="s">
        <v>265</v>
      </c>
      <c r="N87" s="7" t="s">
        <v>265</v>
      </c>
      <c r="O87" s="36"/>
      <c r="P87" s="9"/>
    </row>
    <row r="88" spans="1:16" s="27" customFormat="1">
      <c r="A88" s="39" t="s">
        <v>378</v>
      </c>
      <c r="B88" s="1" t="s">
        <v>170</v>
      </c>
      <c r="C88" s="12" t="s">
        <v>171</v>
      </c>
      <c r="D88" s="7">
        <v>6</v>
      </c>
      <c r="E88" s="7">
        <v>6</v>
      </c>
      <c r="F88" s="25" t="str">
        <f t="shared" si="9"/>
        <v/>
      </c>
      <c r="G88" s="36">
        <f t="shared" si="6"/>
        <v>6</v>
      </c>
      <c r="H88" s="26" t="s">
        <v>267</v>
      </c>
      <c r="I88" s="26" t="s">
        <v>281</v>
      </c>
      <c r="J88" s="25" t="str">
        <f t="shared" si="10"/>
        <v/>
      </c>
      <c r="K88" s="36" t="str">
        <f t="shared" si="7"/>
        <v>R</v>
      </c>
      <c r="L88" s="7" t="s">
        <v>291</v>
      </c>
      <c r="M88" s="7" t="s">
        <v>287</v>
      </c>
      <c r="N88" s="7" t="s">
        <v>265</v>
      </c>
      <c r="O88" s="36"/>
      <c r="P88" s="9"/>
    </row>
    <row r="89" spans="1:16">
      <c r="A89" s="39" t="s">
        <v>378</v>
      </c>
      <c r="B89" s="1" t="s">
        <v>172</v>
      </c>
      <c r="C89" s="12" t="s">
        <v>173</v>
      </c>
      <c r="D89" s="6">
        <v>99</v>
      </c>
      <c r="E89" s="6">
        <v>7</v>
      </c>
      <c r="F89" s="15">
        <v>99</v>
      </c>
      <c r="G89" s="36">
        <f t="shared" si="6"/>
        <v>99</v>
      </c>
      <c r="H89" s="17" t="s">
        <v>277</v>
      </c>
      <c r="I89" s="17" t="s">
        <v>280</v>
      </c>
      <c r="J89" s="15">
        <v>99</v>
      </c>
      <c r="K89" s="36">
        <f t="shared" si="7"/>
        <v>99</v>
      </c>
      <c r="L89" s="6" t="s">
        <v>291</v>
      </c>
      <c r="M89" s="6" t="s">
        <v>287</v>
      </c>
      <c r="N89" s="15">
        <v>99</v>
      </c>
      <c r="O89" s="36"/>
    </row>
    <row r="90" spans="1:16">
      <c r="A90" s="39" t="s">
        <v>378</v>
      </c>
      <c r="B90" s="1" t="s">
        <v>103</v>
      </c>
      <c r="C90" s="12" t="s">
        <v>105</v>
      </c>
      <c r="D90" s="6">
        <v>7</v>
      </c>
      <c r="E90" s="6">
        <v>9</v>
      </c>
      <c r="F90" s="15">
        <v>99</v>
      </c>
      <c r="G90" s="36">
        <f t="shared" si="6"/>
        <v>99</v>
      </c>
      <c r="H90" s="17" t="s">
        <v>277</v>
      </c>
      <c r="I90" s="17" t="s">
        <v>280</v>
      </c>
      <c r="J90" s="15">
        <v>99</v>
      </c>
      <c r="K90" s="36">
        <f t="shared" si="7"/>
        <v>99</v>
      </c>
      <c r="L90" s="6">
        <v>99</v>
      </c>
      <c r="M90" s="6" t="s">
        <v>287</v>
      </c>
      <c r="N90" s="15">
        <v>99</v>
      </c>
      <c r="O90" s="36"/>
    </row>
    <row r="91" spans="1:16">
      <c r="A91" s="39" t="s">
        <v>378</v>
      </c>
      <c r="B91" s="1" t="s">
        <v>97</v>
      </c>
      <c r="C91" s="12" t="s">
        <v>106</v>
      </c>
      <c r="D91" s="6">
        <v>7</v>
      </c>
      <c r="E91" s="6">
        <v>7</v>
      </c>
      <c r="F91" s="15" t="str">
        <f>IF(D91=E91, "", "X")</f>
        <v/>
      </c>
      <c r="G91" s="36">
        <f t="shared" si="6"/>
        <v>7</v>
      </c>
      <c r="H91" s="17" t="s">
        <v>278</v>
      </c>
      <c r="I91" s="17" t="s">
        <v>281</v>
      </c>
      <c r="J91" s="15" t="s">
        <v>293</v>
      </c>
      <c r="K91" s="36" t="str">
        <f t="shared" si="7"/>
        <v>I</v>
      </c>
      <c r="L91" s="6">
        <v>99</v>
      </c>
      <c r="M91" s="6">
        <v>99</v>
      </c>
      <c r="N91" s="15" t="str">
        <f t="shared" si="8"/>
        <v/>
      </c>
      <c r="O91" s="36"/>
    </row>
    <row r="92" spans="1:16">
      <c r="A92" s="1" t="s">
        <v>91</v>
      </c>
      <c r="B92" s="1" t="s">
        <v>2</v>
      </c>
      <c r="C92" s="12" t="s">
        <v>107</v>
      </c>
      <c r="D92" s="6">
        <v>2</v>
      </c>
      <c r="E92" s="6">
        <v>2</v>
      </c>
      <c r="F92" s="15" t="str">
        <f>IF(D92=E92, "", "X")</f>
        <v/>
      </c>
      <c r="G92" s="36">
        <f t="shared" si="6"/>
        <v>2</v>
      </c>
      <c r="H92" s="17" t="s">
        <v>267</v>
      </c>
      <c r="I92" s="17" t="s">
        <v>293</v>
      </c>
      <c r="J92" s="15" t="s">
        <v>302</v>
      </c>
      <c r="K92" s="36" t="str">
        <f t="shared" si="7"/>
        <v>R</v>
      </c>
      <c r="L92" s="6">
        <v>99</v>
      </c>
      <c r="M92" s="6">
        <v>99</v>
      </c>
      <c r="N92" s="15" t="str">
        <f t="shared" si="8"/>
        <v/>
      </c>
      <c r="O92" s="36"/>
    </row>
    <row r="93" spans="1:16">
      <c r="A93" s="1" t="s">
        <v>3</v>
      </c>
      <c r="B93" s="1" t="s">
        <v>108</v>
      </c>
      <c r="C93" s="12" t="s">
        <v>109</v>
      </c>
      <c r="E93" s="6">
        <v>2</v>
      </c>
      <c r="F93" s="15">
        <v>2</v>
      </c>
      <c r="G93" s="36">
        <f t="shared" si="6"/>
        <v>2</v>
      </c>
      <c r="I93" s="17" t="s">
        <v>280</v>
      </c>
      <c r="J93" s="15" t="s">
        <v>302</v>
      </c>
      <c r="K93" s="36" t="str">
        <f t="shared" si="7"/>
        <v>R</v>
      </c>
      <c r="L93" s="6">
        <v>99</v>
      </c>
      <c r="M93" s="6">
        <v>99</v>
      </c>
      <c r="N93" s="15" t="str">
        <f t="shared" si="8"/>
        <v/>
      </c>
      <c r="O93" s="36"/>
    </row>
    <row r="94" spans="1:16">
      <c r="A94" s="39" t="s">
        <v>378</v>
      </c>
      <c r="B94" s="1" t="s">
        <v>104</v>
      </c>
      <c r="C94" s="12" t="s">
        <v>110</v>
      </c>
      <c r="D94" s="6">
        <v>6</v>
      </c>
      <c r="E94" s="6">
        <v>6</v>
      </c>
      <c r="F94" s="15" t="str">
        <f t="shared" ref="F94:F100" si="11">IF(D94=E94, "", "X")</f>
        <v/>
      </c>
      <c r="G94" s="36">
        <f t="shared" si="6"/>
        <v>6</v>
      </c>
      <c r="I94" s="17" t="s">
        <v>301</v>
      </c>
      <c r="J94" s="15" t="s">
        <v>302</v>
      </c>
      <c r="K94" s="36" t="str">
        <f t="shared" si="7"/>
        <v>R</v>
      </c>
      <c r="L94" s="6">
        <v>99</v>
      </c>
      <c r="M94" s="6">
        <v>99</v>
      </c>
      <c r="N94" s="15" t="str">
        <f t="shared" si="8"/>
        <v/>
      </c>
      <c r="O94" s="36"/>
    </row>
    <row r="95" spans="1:16">
      <c r="A95" s="1" t="s">
        <v>91</v>
      </c>
      <c r="B95" s="1" t="s">
        <v>2</v>
      </c>
      <c r="C95" s="12" t="s">
        <v>326</v>
      </c>
      <c r="D95" s="6">
        <v>6</v>
      </c>
      <c r="E95" s="6">
        <v>6</v>
      </c>
      <c r="F95" s="15" t="str">
        <f t="shared" si="11"/>
        <v/>
      </c>
      <c r="G95" s="36">
        <f t="shared" si="6"/>
        <v>6</v>
      </c>
      <c r="I95" s="17" t="s">
        <v>285</v>
      </c>
      <c r="J95" s="15" t="s">
        <v>293</v>
      </c>
      <c r="K95" s="36" t="str">
        <f t="shared" si="7"/>
        <v>I</v>
      </c>
      <c r="L95" s="6">
        <v>99</v>
      </c>
      <c r="M95" s="6">
        <v>99</v>
      </c>
      <c r="N95" s="15" t="str">
        <f t="shared" si="8"/>
        <v/>
      </c>
      <c r="O95" s="36"/>
    </row>
    <row r="96" spans="1:16">
      <c r="A96" s="1" t="s">
        <v>3</v>
      </c>
      <c r="B96" s="1" t="s">
        <v>111</v>
      </c>
      <c r="C96" s="12" t="s">
        <v>112</v>
      </c>
      <c r="D96" s="6">
        <v>2</v>
      </c>
      <c r="E96" s="6">
        <v>2</v>
      </c>
      <c r="F96" s="15" t="str">
        <f t="shared" si="11"/>
        <v/>
      </c>
      <c r="G96" s="36">
        <f t="shared" si="6"/>
        <v>2</v>
      </c>
      <c r="I96" s="17" t="s">
        <v>280</v>
      </c>
      <c r="J96" s="15" t="s">
        <v>302</v>
      </c>
      <c r="K96" s="36" t="str">
        <f t="shared" si="7"/>
        <v>R</v>
      </c>
      <c r="L96" s="6">
        <v>99</v>
      </c>
      <c r="M96" s="6">
        <v>99</v>
      </c>
      <c r="N96" s="15" t="str">
        <f t="shared" si="8"/>
        <v/>
      </c>
      <c r="O96" s="36"/>
    </row>
    <row r="97" spans="1:16">
      <c r="A97" s="1" t="s">
        <v>91</v>
      </c>
      <c r="B97" s="1" t="s">
        <v>2</v>
      </c>
      <c r="C97" s="12" t="s">
        <v>114</v>
      </c>
      <c r="D97" s="6">
        <v>5</v>
      </c>
      <c r="E97" s="6">
        <v>5</v>
      </c>
      <c r="F97" s="15" t="str">
        <f t="shared" si="11"/>
        <v/>
      </c>
      <c r="G97" s="36">
        <f t="shared" si="6"/>
        <v>5</v>
      </c>
      <c r="I97" s="17" t="s">
        <v>285</v>
      </c>
      <c r="J97" s="15" t="s">
        <v>320</v>
      </c>
      <c r="K97" s="36" t="str">
        <f t="shared" si="7"/>
        <v>N</v>
      </c>
      <c r="L97" s="6">
        <v>99</v>
      </c>
      <c r="M97" s="6">
        <v>99</v>
      </c>
      <c r="N97" s="15" t="str">
        <f t="shared" si="8"/>
        <v/>
      </c>
      <c r="O97" s="36"/>
    </row>
    <row r="98" spans="1:16">
      <c r="A98" s="1" t="s">
        <v>3</v>
      </c>
      <c r="B98" s="1" t="s">
        <v>111</v>
      </c>
      <c r="C98" s="12" t="s">
        <v>112</v>
      </c>
      <c r="D98" s="6">
        <v>2</v>
      </c>
      <c r="E98" s="6">
        <v>2</v>
      </c>
      <c r="F98" s="15" t="str">
        <f t="shared" si="11"/>
        <v/>
      </c>
      <c r="G98" s="36">
        <f t="shared" si="6"/>
        <v>2</v>
      </c>
      <c r="I98" s="17" t="s">
        <v>280</v>
      </c>
      <c r="J98" s="15" t="s">
        <v>302</v>
      </c>
      <c r="K98" s="36" t="str">
        <f t="shared" si="7"/>
        <v>R</v>
      </c>
      <c r="L98" s="6">
        <v>99</v>
      </c>
      <c r="M98" s="6">
        <v>99</v>
      </c>
      <c r="N98" s="15" t="str">
        <f t="shared" si="8"/>
        <v/>
      </c>
      <c r="O98" s="36"/>
    </row>
    <row r="99" spans="1:16" s="27" customFormat="1">
      <c r="A99" s="1" t="s">
        <v>91</v>
      </c>
      <c r="B99" s="1" t="s">
        <v>2</v>
      </c>
      <c r="C99" s="12" t="s">
        <v>115</v>
      </c>
      <c r="D99" s="7">
        <v>7</v>
      </c>
      <c r="E99" s="7">
        <v>7</v>
      </c>
      <c r="F99" s="25" t="str">
        <f t="shared" si="11"/>
        <v/>
      </c>
      <c r="G99" s="36">
        <f t="shared" si="6"/>
        <v>7</v>
      </c>
      <c r="H99" s="26" t="s">
        <v>278</v>
      </c>
      <c r="I99" s="26" t="s">
        <v>285</v>
      </c>
      <c r="J99" s="25" t="str">
        <f t="shared" si="10"/>
        <v/>
      </c>
      <c r="K99" s="36" t="str">
        <f t="shared" si="7"/>
        <v>I</v>
      </c>
      <c r="L99" s="7">
        <v>99</v>
      </c>
      <c r="M99" s="7" t="s">
        <v>286</v>
      </c>
      <c r="N99" s="7" t="s">
        <v>265</v>
      </c>
      <c r="O99" s="36"/>
      <c r="P99" s="9"/>
    </row>
    <row r="100" spans="1:16" s="27" customFormat="1">
      <c r="A100" s="1" t="s">
        <v>3</v>
      </c>
      <c r="B100" s="1" t="s">
        <v>116</v>
      </c>
      <c r="C100" s="12" t="s">
        <v>117</v>
      </c>
      <c r="D100" s="7">
        <v>6</v>
      </c>
      <c r="E100" s="7">
        <v>6</v>
      </c>
      <c r="F100" s="25" t="str">
        <f t="shared" si="11"/>
        <v/>
      </c>
      <c r="G100" s="36">
        <f t="shared" si="6"/>
        <v>6</v>
      </c>
      <c r="H100" s="26" t="s">
        <v>279</v>
      </c>
      <c r="I100" s="26" t="s">
        <v>302</v>
      </c>
      <c r="J100" s="25" t="s">
        <v>321</v>
      </c>
      <c r="K100" s="36" t="str">
        <f t="shared" si="7"/>
        <v>RR</v>
      </c>
      <c r="L100" s="7" t="s">
        <v>291</v>
      </c>
      <c r="M100" s="7" t="s">
        <v>286</v>
      </c>
      <c r="N100" s="7" t="s">
        <v>265</v>
      </c>
      <c r="O100" s="36"/>
      <c r="P100" s="9"/>
    </row>
    <row r="101" spans="1:16" s="27" customFormat="1">
      <c r="A101" s="1" t="s">
        <v>91</v>
      </c>
      <c r="B101" s="1" t="s">
        <v>2</v>
      </c>
      <c r="C101" s="12" t="s">
        <v>118</v>
      </c>
      <c r="D101" s="7">
        <v>4</v>
      </c>
      <c r="E101" s="7">
        <v>5</v>
      </c>
      <c r="F101" s="25">
        <v>1</v>
      </c>
      <c r="G101" s="36">
        <f t="shared" si="6"/>
        <v>1</v>
      </c>
      <c r="H101" s="26"/>
      <c r="I101" s="26" t="s">
        <v>285</v>
      </c>
      <c r="J101" s="25" t="s">
        <v>320</v>
      </c>
      <c r="K101" s="36" t="str">
        <f t="shared" si="7"/>
        <v>N</v>
      </c>
      <c r="L101" s="7" t="s">
        <v>291</v>
      </c>
      <c r="M101" s="7" t="s">
        <v>286</v>
      </c>
      <c r="N101" s="7" t="s">
        <v>265</v>
      </c>
      <c r="O101" s="36"/>
      <c r="P101" s="9"/>
    </row>
    <row r="102" spans="1:16" s="27" customFormat="1">
      <c r="A102" s="1" t="s">
        <v>3</v>
      </c>
      <c r="B102" s="1" t="s">
        <v>111</v>
      </c>
      <c r="C102" s="12" t="s">
        <v>119</v>
      </c>
      <c r="D102" s="7">
        <v>3</v>
      </c>
      <c r="E102" s="7">
        <v>3</v>
      </c>
      <c r="F102" s="25" t="str">
        <f>IF(D102=E102, "", "X")</f>
        <v/>
      </c>
      <c r="G102" s="36">
        <f t="shared" si="6"/>
        <v>3</v>
      </c>
      <c r="H102" s="26"/>
      <c r="I102" s="26" t="s">
        <v>280</v>
      </c>
      <c r="J102" s="25" t="s">
        <v>302</v>
      </c>
      <c r="K102" s="36" t="str">
        <f t="shared" si="7"/>
        <v>R</v>
      </c>
      <c r="L102" s="7" t="s">
        <v>291</v>
      </c>
      <c r="M102" s="7" t="s">
        <v>286</v>
      </c>
      <c r="N102" s="7" t="s">
        <v>265</v>
      </c>
      <c r="O102" s="36"/>
      <c r="P102" s="9"/>
    </row>
    <row r="103" spans="1:16">
      <c r="A103" s="1" t="s">
        <v>91</v>
      </c>
      <c r="B103" s="1" t="s">
        <v>2</v>
      </c>
      <c r="C103" s="12" t="s">
        <v>120</v>
      </c>
      <c r="D103" s="6">
        <v>2</v>
      </c>
      <c r="E103" s="6">
        <v>2</v>
      </c>
      <c r="F103" s="15" t="str">
        <f>IF(D103=E103, "", "X")</f>
        <v/>
      </c>
      <c r="G103" s="36">
        <f t="shared" si="6"/>
        <v>2</v>
      </c>
      <c r="I103" s="17" t="s">
        <v>303</v>
      </c>
      <c r="J103" s="15" t="s">
        <v>320</v>
      </c>
      <c r="K103" s="36" t="str">
        <f t="shared" si="7"/>
        <v>N</v>
      </c>
      <c r="L103" s="6" t="s">
        <v>291</v>
      </c>
      <c r="M103" s="6" t="s">
        <v>286</v>
      </c>
      <c r="N103" s="15">
        <v>99</v>
      </c>
      <c r="O103" s="36"/>
    </row>
    <row r="104" spans="1:16">
      <c r="A104" s="1" t="s">
        <v>3</v>
      </c>
      <c r="B104" s="1" t="s">
        <v>111</v>
      </c>
      <c r="C104" s="11" t="s">
        <v>88</v>
      </c>
      <c r="F104" s="15" t="str">
        <f>IF(D104=E104, "", "X")</f>
        <v/>
      </c>
      <c r="G104" s="36">
        <f t="shared" si="6"/>
        <v>0</v>
      </c>
      <c r="I104" s="17" t="s">
        <v>304</v>
      </c>
      <c r="J104" s="15" t="s">
        <v>302</v>
      </c>
      <c r="K104" s="36" t="str">
        <f t="shared" si="7"/>
        <v>R</v>
      </c>
      <c r="L104" s="6">
        <v>99</v>
      </c>
      <c r="M104" s="6" t="s">
        <v>286</v>
      </c>
      <c r="N104" s="15">
        <v>99</v>
      </c>
      <c r="O104" s="36"/>
    </row>
    <row r="105" spans="1:16">
      <c r="A105" s="1" t="s">
        <v>91</v>
      </c>
      <c r="B105" s="1" t="s">
        <v>2</v>
      </c>
      <c r="C105" s="12" t="s">
        <v>121</v>
      </c>
      <c r="D105" s="6">
        <v>2</v>
      </c>
      <c r="E105" s="6">
        <v>2</v>
      </c>
      <c r="F105" s="15">
        <v>1</v>
      </c>
      <c r="G105" s="36">
        <f t="shared" si="6"/>
        <v>2</v>
      </c>
      <c r="I105" s="17" t="s">
        <v>296</v>
      </c>
      <c r="J105" s="15" t="s">
        <v>320</v>
      </c>
      <c r="K105" s="36" t="str">
        <f t="shared" si="7"/>
        <v>N</v>
      </c>
      <c r="L105" s="6">
        <v>99</v>
      </c>
      <c r="M105" s="6" t="s">
        <v>286</v>
      </c>
      <c r="N105" s="15">
        <v>99</v>
      </c>
      <c r="O105" s="36"/>
    </row>
    <row r="106" spans="1:16">
      <c r="A106" s="1" t="s">
        <v>3</v>
      </c>
      <c r="B106" s="1" t="s">
        <v>111</v>
      </c>
      <c r="C106" s="12" t="s">
        <v>122</v>
      </c>
      <c r="D106" s="6">
        <v>10</v>
      </c>
      <c r="E106" s="6">
        <v>10</v>
      </c>
      <c r="F106" s="15" t="str">
        <f>IF(D106=E106, "", "X")</f>
        <v/>
      </c>
      <c r="G106" s="36">
        <f t="shared" si="6"/>
        <v>10</v>
      </c>
      <c r="I106" s="17" t="s">
        <v>280</v>
      </c>
      <c r="J106" s="15" t="s">
        <v>302</v>
      </c>
      <c r="K106" s="36" t="str">
        <f t="shared" si="7"/>
        <v>R</v>
      </c>
      <c r="L106" s="6">
        <v>99</v>
      </c>
      <c r="M106" s="6">
        <v>99</v>
      </c>
      <c r="N106" s="15">
        <v>99</v>
      </c>
      <c r="O106" s="36"/>
    </row>
    <row r="107" spans="1:16">
      <c r="A107" s="1" t="s">
        <v>91</v>
      </c>
      <c r="B107" s="1" t="s">
        <v>2</v>
      </c>
      <c r="C107" s="12" t="s">
        <v>319</v>
      </c>
      <c r="E107" s="6">
        <v>6</v>
      </c>
      <c r="F107" s="15">
        <v>6</v>
      </c>
      <c r="G107" s="36">
        <f t="shared" si="6"/>
        <v>6</v>
      </c>
      <c r="I107" s="17" t="s">
        <v>294</v>
      </c>
      <c r="J107" s="15"/>
      <c r="K107" s="36">
        <f t="shared" si="7"/>
        <v>0</v>
      </c>
      <c r="L107" s="6">
        <v>99</v>
      </c>
      <c r="M107" s="6" t="s">
        <v>286</v>
      </c>
      <c r="N107" s="15" t="s">
        <v>369</v>
      </c>
      <c r="O107" s="36"/>
    </row>
    <row r="108" spans="1:16" ht="30">
      <c r="A108" s="1" t="s">
        <v>91</v>
      </c>
      <c r="B108" s="1" t="s">
        <v>2</v>
      </c>
      <c r="C108" s="12" t="s">
        <v>174</v>
      </c>
      <c r="D108" s="6">
        <v>4</v>
      </c>
      <c r="E108" s="6">
        <v>6</v>
      </c>
      <c r="F108" s="15">
        <v>6</v>
      </c>
      <c r="G108" s="36">
        <f t="shared" si="6"/>
        <v>6</v>
      </c>
      <c r="I108" s="17" t="s">
        <v>294</v>
      </c>
      <c r="J108" s="15"/>
      <c r="K108" s="36">
        <f t="shared" si="7"/>
        <v>0</v>
      </c>
      <c r="L108" s="6" t="s">
        <v>291</v>
      </c>
      <c r="M108" s="6" t="s">
        <v>263</v>
      </c>
      <c r="N108" s="15" t="s">
        <v>322</v>
      </c>
      <c r="O108" s="36"/>
    </row>
    <row r="109" spans="1:16">
      <c r="A109" s="1" t="s">
        <v>91</v>
      </c>
      <c r="B109" s="1" t="s">
        <v>2</v>
      </c>
      <c r="C109" s="12" t="s">
        <v>123</v>
      </c>
      <c r="D109" s="6">
        <v>8</v>
      </c>
      <c r="E109" s="6">
        <v>8</v>
      </c>
      <c r="F109" s="15" t="str">
        <f t="shared" ref="F109:F116" si="12">IF(D109=E109, "", "X")</f>
        <v/>
      </c>
      <c r="G109" s="36">
        <f t="shared" si="6"/>
        <v>8</v>
      </c>
      <c r="H109" s="17" t="s">
        <v>278</v>
      </c>
      <c r="I109" s="17" t="s">
        <v>285</v>
      </c>
      <c r="J109" s="15" t="str">
        <f t="shared" si="10"/>
        <v/>
      </c>
      <c r="K109" s="36" t="str">
        <f t="shared" si="7"/>
        <v>I</v>
      </c>
      <c r="L109" s="6" t="s">
        <v>290</v>
      </c>
      <c r="M109" s="6" t="s">
        <v>263</v>
      </c>
      <c r="N109" s="15" t="str">
        <f t="shared" si="8"/>
        <v/>
      </c>
      <c r="O109" s="36"/>
    </row>
    <row r="110" spans="1:16">
      <c r="A110" s="39" t="s">
        <v>378</v>
      </c>
      <c r="B110" s="1" t="s">
        <v>102</v>
      </c>
      <c r="C110" s="12" t="s">
        <v>175</v>
      </c>
      <c r="D110" s="6">
        <v>5</v>
      </c>
      <c r="E110" s="6">
        <v>5</v>
      </c>
      <c r="F110" s="15" t="str">
        <f t="shared" si="12"/>
        <v/>
      </c>
      <c r="G110" s="36">
        <f t="shared" si="6"/>
        <v>5</v>
      </c>
      <c r="H110" s="17" t="s">
        <v>267</v>
      </c>
      <c r="I110" s="17" t="s">
        <v>280</v>
      </c>
      <c r="J110" s="15" t="str">
        <f t="shared" si="10"/>
        <v/>
      </c>
      <c r="K110" s="36" t="str">
        <f t="shared" si="7"/>
        <v>R</v>
      </c>
      <c r="L110" s="6" t="s">
        <v>290</v>
      </c>
      <c r="M110" s="6" t="s">
        <v>263</v>
      </c>
      <c r="N110" s="15" t="str">
        <f t="shared" si="8"/>
        <v/>
      </c>
      <c r="O110" s="36"/>
    </row>
    <row r="111" spans="1:16">
      <c r="A111" s="1" t="s">
        <v>91</v>
      </c>
      <c r="B111" s="1" t="s">
        <v>2</v>
      </c>
      <c r="C111" s="12" t="s">
        <v>124</v>
      </c>
      <c r="D111" s="6">
        <v>8</v>
      </c>
      <c r="E111" s="6">
        <v>8</v>
      </c>
      <c r="F111" s="15" t="str">
        <f t="shared" si="12"/>
        <v/>
      </c>
      <c r="G111" s="36">
        <f t="shared" si="6"/>
        <v>8</v>
      </c>
      <c r="H111" s="17" t="s">
        <v>278</v>
      </c>
      <c r="I111" s="17" t="s">
        <v>293</v>
      </c>
      <c r="J111" s="15" t="str">
        <f t="shared" si="10"/>
        <v/>
      </c>
      <c r="K111" s="36" t="str">
        <f t="shared" si="7"/>
        <v>I</v>
      </c>
      <c r="L111" s="6" t="s">
        <v>290</v>
      </c>
      <c r="M111" s="6" t="s">
        <v>263</v>
      </c>
      <c r="N111" s="15" t="str">
        <f t="shared" si="8"/>
        <v/>
      </c>
      <c r="O111" s="36"/>
    </row>
    <row r="112" spans="1:16">
      <c r="A112" s="39" t="s">
        <v>378</v>
      </c>
      <c r="B112" s="1" t="s">
        <v>102</v>
      </c>
      <c r="C112" s="12" t="s">
        <v>125</v>
      </c>
      <c r="D112" s="6">
        <v>5</v>
      </c>
      <c r="E112" s="6">
        <v>5</v>
      </c>
      <c r="F112" s="15" t="str">
        <f t="shared" si="12"/>
        <v/>
      </c>
      <c r="G112" s="36">
        <f t="shared" si="6"/>
        <v>5</v>
      </c>
      <c r="H112" s="17" t="s">
        <v>267</v>
      </c>
      <c r="I112" s="17" t="s">
        <v>280</v>
      </c>
      <c r="J112" s="15" t="str">
        <f t="shared" si="10"/>
        <v/>
      </c>
      <c r="K112" s="36" t="str">
        <f t="shared" si="7"/>
        <v>R</v>
      </c>
      <c r="L112" s="6" t="s">
        <v>290</v>
      </c>
      <c r="M112" s="6" t="s">
        <v>263</v>
      </c>
      <c r="N112" s="15" t="str">
        <f t="shared" si="8"/>
        <v/>
      </c>
      <c r="O112" s="36"/>
    </row>
    <row r="113" spans="1:15">
      <c r="A113" s="39" t="s">
        <v>378</v>
      </c>
      <c r="B113" s="1" t="s">
        <v>102</v>
      </c>
      <c r="C113" s="12" t="s">
        <v>126</v>
      </c>
      <c r="D113" s="6">
        <v>5</v>
      </c>
      <c r="E113" s="6">
        <v>5</v>
      </c>
      <c r="F113" s="15" t="str">
        <f t="shared" si="12"/>
        <v/>
      </c>
      <c r="G113" s="36">
        <f t="shared" si="6"/>
        <v>5</v>
      </c>
      <c r="H113" s="17" t="s">
        <v>267</v>
      </c>
      <c r="I113" s="17" t="s">
        <v>280</v>
      </c>
      <c r="J113" s="15" t="str">
        <f t="shared" si="10"/>
        <v/>
      </c>
      <c r="K113" s="36" t="str">
        <f t="shared" si="7"/>
        <v>R</v>
      </c>
      <c r="L113" s="6" t="s">
        <v>290</v>
      </c>
      <c r="M113" s="6" t="s">
        <v>263</v>
      </c>
      <c r="N113" s="15" t="str">
        <f t="shared" si="8"/>
        <v/>
      </c>
      <c r="O113" s="36"/>
    </row>
    <row r="114" spans="1:15" ht="30">
      <c r="A114" s="1" t="s">
        <v>91</v>
      </c>
      <c r="B114" s="1" t="s">
        <v>2</v>
      </c>
      <c r="C114" s="12" t="s">
        <v>127</v>
      </c>
      <c r="D114" s="6">
        <v>4</v>
      </c>
      <c r="E114" s="6">
        <v>4</v>
      </c>
      <c r="F114" s="15" t="str">
        <f t="shared" si="12"/>
        <v/>
      </c>
      <c r="G114" s="36">
        <f t="shared" si="6"/>
        <v>4</v>
      </c>
      <c r="J114" s="15" t="str">
        <f t="shared" si="10"/>
        <v/>
      </c>
      <c r="K114" s="36">
        <f t="shared" si="7"/>
        <v>0</v>
      </c>
      <c r="L114" s="6" t="s">
        <v>290</v>
      </c>
      <c r="M114" s="6" t="s">
        <v>263</v>
      </c>
      <c r="N114" s="15" t="str">
        <f t="shared" si="8"/>
        <v/>
      </c>
      <c r="O114" s="36"/>
    </row>
    <row r="115" spans="1:15">
      <c r="A115" s="1" t="s">
        <v>91</v>
      </c>
      <c r="B115" s="1" t="s">
        <v>2</v>
      </c>
      <c r="C115" s="12" t="s">
        <v>89</v>
      </c>
      <c r="D115" s="6">
        <v>4</v>
      </c>
      <c r="E115" s="6">
        <v>4</v>
      </c>
      <c r="F115" s="15" t="str">
        <f t="shared" si="12"/>
        <v/>
      </c>
      <c r="G115" s="36">
        <f t="shared" si="6"/>
        <v>4</v>
      </c>
      <c r="J115" s="15" t="str">
        <f t="shared" si="10"/>
        <v/>
      </c>
      <c r="K115" s="36">
        <f t="shared" si="7"/>
        <v>0</v>
      </c>
      <c r="L115" s="6" t="s">
        <v>268</v>
      </c>
      <c r="N115" s="15" t="s">
        <v>316</v>
      </c>
      <c r="O115" s="36"/>
    </row>
    <row r="116" spans="1:15">
      <c r="A116" s="1" t="s">
        <v>91</v>
      </c>
      <c r="B116" s="1" t="s">
        <v>2</v>
      </c>
      <c r="C116" s="12" t="s">
        <v>128</v>
      </c>
      <c r="D116" s="6">
        <v>4</v>
      </c>
      <c r="E116" s="6">
        <v>4</v>
      </c>
      <c r="F116" s="15" t="str">
        <f t="shared" si="12"/>
        <v/>
      </c>
      <c r="G116" s="36">
        <f t="shared" si="6"/>
        <v>4</v>
      </c>
      <c r="J116" s="15" t="str">
        <f t="shared" si="10"/>
        <v/>
      </c>
      <c r="K116" s="36">
        <f t="shared" si="7"/>
        <v>0</v>
      </c>
      <c r="L116" s="6" t="s">
        <v>268</v>
      </c>
      <c r="N116" s="15" t="s">
        <v>316</v>
      </c>
      <c r="O116" s="36"/>
    </row>
    <row r="117" spans="1:15" ht="30">
      <c r="A117" s="1" t="s">
        <v>91</v>
      </c>
      <c r="B117" s="1" t="s">
        <v>2</v>
      </c>
      <c r="C117" s="12" t="s">
        <v>129</v>
      </c>
      <c r="D117" s="6">
        <v>4</v>
      </c>
      <c r="E117" s="6">
        <v>6</v>
      </c>
      <c r="F117" s="15">
        <v>6</v>
      </c>
      <c r="G117" s="36">
        <f t="shared" si="6"/>
        <v>6</v>
      </c>
      <c r="I117" s="17" t="s">
        <v>293</v>
      </c>
      <c r="J117" s="15" t="s">
        <v>320</v>
      </c>
      <c r="K117" s="36" t="str">
        <f t="shared" si="7"/>
        <v>N</v>
      </c>
      <c r="L117" s="6" t="s">
        <v>268</v>
      </c>
      <c r="M117" s="6" t="s">
        <v>263</v>
      </c>
      <c r="N117" s="15" t="s">
        <v>322</v>
      </c>
      <c r="O117" s="36"/>
    </row>
    <row r="118" spans="1:15">
      <c r="A118" s="39" t="s">
        <v>378</v>
      </c>
      <c r="B118" s="1" t="s">
        <v>4</v>
      </c>
      <c r="C118" s="12" t="s">
        <v>90</v>
      </c>
      <c r="D118" s="6">
        <v>5</v>
      </c>
      <c r="E118" s="6">
        <v>5</v>
      </c>
      <c r="F118" s="15" t="str">
        <f t="shared" ref="F118:F123" si="13">IF(D118=E118, "", "X")</f>
        <v/>
      </c>
      <c r="G118" s="36">
        <f t="shared" si="6"/>
        <v>5</v>
      </c>
      <c r="I118" s="17" t="s">
        <v>280</v>
      </c>
      <c r="J118" s="15" t="s">
        <v>302</v>
      </c>
      <c r="K118" s="36" t="str">
        <f t="shared" si="7"/>
        <v>R</v>
      </c>
      <c r="L118" s="6" t="s">
        <v>290</v>
      </c>
      <c r="M118" s="6" t="s">
        <v>263</v>
      </c>
      <c r="N118" s="15" t="str">
        <f t="shared" si="8"/>
        <v/>
      </c>
      <c r="O118" s="36"/>
    </row>
    <row r="119" spans="1:15">
      <c r="A119" s="39" t="s">
        <v>378</v>
      </c>
      <c r="B119" s="1" t="s">
        <v>104</v>
      </c>
      <c r="C119" s="12" t="s">
        <v>130</v>
      </c>
      <c r="D119" s="6">
        <v>5</v>
      </c>
      <c r="E119" s="6">
        <v>5</v>
      </c>
      <c r="F119" s="15" t="str">
        <f t="shared" si="13"/>
        <v/>
      </c>
      <c r="G119" s="36">
        <f t="shared" si="6"/>
        <v>5</v>
      </c>
      <c r="I119" s="17" t="s">
        <v>280</v>
      </c>
      <c r="J119" s="15" t="s">
        <v>302</v>
      </c>
      <c r="K119" s="36" t="str">
        <f t="shared" si="7"/>
        <v>R</v>
      </c>
      <c r="L119" s="6" t="s">
        <v>290</v>
      </c>
      <c r="M119" s="6" t="s">
        <v>263</v>
      </c>
      <c r="N119" s="15" t="str">
        <f t="shared" si="8"/>
        <v/>
      </c>
      <c r="O119" s="36"/>
    </row>
    <row r="120" spans="1:15">
      <c r="A120" s="1" t="s">
        <v>91</v>
      </c>
      <c r="B120" s="1" t="s">
        <v>133</v>
      </c>
      <c r="C120" s="12" t="s">
        <v>176</v>
      </c>
      <c r="D120" s="6">
        <v>4</v>
      </c>
      <c r="E120" s="6">
        <v>4</v>
      </c>
      <c r="F120" s="15" t="str">
        <f t="shared" si="13"/>
        <v/>
      </c>
      <c r="G120" s="36">
        <f t="shared" si="6"/>
        <v>4</v>
      </c>
      <c r="I120" s="17" t="s">
        <v>294</v>
      </c>
      <c r="J120" s="15"/>
      <c r="K120" s="36">
        <f t="shared" si="7"/>
        <v>0</v>
      </c>
      <c r="L120" s="6" t="s">
        <v>290</v>
      </c>
      <c r="M120" s="6" t="s">
        <v>263</v>
      </c>
      <c r="N120" s="15" t="str">
        <f t="shared" si="8"/>
        <v/>
      </c>
      <c r="O120" s="36"/>
    </row>
    <row r="121" spans="1:15">
      <c r="A121" s="1" t="s">
        <v>91</v>
      </c>
      <c r="B121" s="1" t="s">
        <v>177</v>
      </c>
      <c r="C121" s="12" t="s">
        <v>131</v>
      </c>
      <c r="D121" s="6">
        <v>9</v>
      </c>
      <c r="E121" s="6">
        <v>9</v>
      </c>
      <c r="F121" s="15" t="str">
        <f t="shared" si="13"/>
        <v/>
      </c>
      <c r="G121" s="36">
        <f t="shared" si="6"/>
        <v>9</v>
      </c>
      <c r="H121" s="17" t="s">
        <v>278</v>
      </c>
      <c r="I121" s="17" t="s">
        <v>285</v>
      </c>
      <c r="J121" s="15" t="str">
        <f t="shared" si="10"/>
        <v/>
      </c>
      <c r="K121" s="36" t="str">
        <f t="shared" si="7"/>
        <v>I</v>
      </c>
      <c r="L121" s="6" t="s">
        <v>290</v>
      </c>
      <c r="M121" s="6" t="s">
        <v>263</v>
      </c>
      <c r="N121" s="15" t="str">
        <f t="shared" si="8"/>
        <v/>
      </c>
      <c r="O121" s="36"/>
    </row>
    <row r="122" spans="1:15">
      <c r="A122" s="1" t="s">
        <v>3</v>
      </c>
      <c r="B122" s="1" t="s">
        <v>178</v>
      </c>
      <c r="C122" s="12" t="s">
        <v>179</v>
      </c>
      <c r="D122" s="6">
        <v>4</v>
      </c>
      <c r="E122" s="6">
        <v>4</v>
      </c>
      <c r="F122" s="15" t="str">
        <f t="shared" si="13"/>
        <v/>
      </c>
      <c r="G122" s="36">
        <f t="shared" si="6"/>
        <v>4</v>
      </c>
      <c r="H122" s="17" t="s">
        <v>267</v>
      </c>
      <c r="I122" s="17" t="s">
        <v>305</v>
      </c>
      <c r="J122" s="15" t="str">
        <f t="shared" si="10"/>
        <v/>
      </c>
      <c r="K122" s="36" t="str">
        <f t="shared" si="7"/>
        <v>R</v>
      </c>
      <c r="L122" s="6" t="s">
        <v>262</v>
      </c>
      <c r="M122" s="6" t="s">
        <v>263</v>
      </c>
      <c r="N122" s="15" t="s">
        <v>332</v>
      </c>
      <c r="O122" s="36"/>
    </row>
    <row r="123" spans="1:15">
      <c r="A123" s="1" t="s">
        <v>91</v>
      </c>
      <c r="B123" s="1" t="s">
        <v>159</v>
      </c>
      <c r="C123" s="12" t="s">
        <v>180</v>
      </c>
      <c r="D123" s="6">
        <v>8</v>
      </c>
      <c r="E123" s="6">
        <v>8</v>
      </c>
      <c r="F123" s="15" t="str">
        <f t="shared" si="13"/>
        <v/>
      </c>
      <c r="G123" s="36">
        <f t="shared" si="6"/>
        <v>8</v>
      </c>
      <c r="H123" s="17" t="s">
        <v>278</v>
      </c>
      <c r="I123" s="17" t="s">
        <v>285</v>
      </c>
      <c r="J123" s="15" t="str">
        <f t="shared" si="10"/>
        <v/>
      </c>
      <c r="K123" s="36" t="str">
        <f t="shared" si="7"/>
        <v>I</v>
      </c>
      <c r="L123" s="6" t="s">
        <v>262</v>
      </c>
      <c r="M123" s="6" t="s">
        <v>263</v>
      </c>
      <c r="N123" s="15" t="s">
        <v>322</v>
      </c>
      <c r="O123" s="36"/>
    </row>
    <row r="124" spans="1:15">
      <c r="A124" s="39" t="s">
        <v>378</v>
      </c>
      <c r="B124" s="1" t="s">
        <v>181</v>
      </c>
      <c r="C124" s="12" t="s">
        <v>132</v>
      </c>
      <c r="D124" s="6">
        <v>2</v>
      </c>
      <c r="E124" s="6">
        <v>5</v>
      </c>
      <c r="F124" s="15">
        <v>2</v>
      </c>
      <c r="G124" s="36">
        <f t="shared" si="6"/>
        <v>2</v>
      </c>
      <c r="H124" s="17" t="s">
        <v>267</v>
      </c>
      <c r="I124" s="17" t="s">
        <v>280</v>
      </c>
      <c r="J124" s="15" t="str">
        <f t="shared" si="10"/>
        <v/>
      </c>
      <c r="K124" s="36" t="str">
        <f t="shared" si="7"/>
        <v>R</v>
      </c>
      <c r="L124" s="6" t="s">
        <v>262</v>
      </c>
      <c r="M124" s="6" t="s">
        <v>263</v>
      </c>
      <c r="N124" s="15" t="s">
        <v>322</v>
      </c>
      <c r="O124" s="36"/>
    </row>
    <row r="125" spans="1:15">
      <c r="A125" s="1" t="s">
        <v>91</v>
      </c>
      <c r="B125" s="1" t="s">
        <v>159</v>
      </c>
      <c r="C125" s="12" t="s">
        <v>182</v>
      </c>
      <c r="D125" s="6">
        <v>7</v>
      </c>
      <c r="E125" s="6">
        <v>7</v>
      </c>
      <c r="F125" s="15" t="str">
        <f>IF(D125=E125, "", "X")</f>
        <v/>
      </c>
      <c r="G125" s="36">
        <f t="shared" si="6"/>
        <v>7</v>
      </c>
      <c r="H125" s="17" t="s">
        <v>277</v>
      </c>
      <c r="I125" s="17" t="s">
        <v>294</v>
      </c>
      <c r="J125" s="15" t="str">
        <f t="shared" si="10"/>
        <v/>
      </c>
      <c r="K125" s="36" t="str">
        <f t="shared" si="7"/>
        <v>W</v>
      </c>
      <c r="L125" s="6">
        <v>99</v>
      </c>
      <c r="M125" s="6" t="s">
        <v>266</v>
      </c>
      <c r="N125" s="15" t="s">
        <v>329</v>
      </c>
      <c r="O125" s="36"/>
    </row>
    <row r="126" spans="1:15">
      <c r="A126" s="1" t="s">
        <v>91</v>
      </c>
      <c r="B126" s="1" t="s">
        <v>133</v>
      </c>
      <c r="C126" s="12" t="s">
        <v>183</v>
      </c>
      <c r="E126" s="6">
        <v>4</v>
      </c>
      <c r="F126" s="15">
        <v>5</v>
      </c>
      <c r="G126" s="36">
        <f t="shared" si="6"/>
        <v>5</v>
      </c>
      <c r="J126" s="15" t="str">
        <f t="shared" si="10"/>
        <v/>
      </c>
      <c r="K126" s="36">
        <f t="shared" si="7"/>
        <v>0</v>
      </c>
      <c r="L126" s="6" t="s">
        <v>262</v>
      </c>
      <c r="N126" s="15" t="s">
        <v>316</v>
      </c>
      <c r="O126" s="36"/>
    </row>
    <row r="127" spans="1:15">
      <c r="A127" s="39" t="s">
        <v>378</v>
      </c>
      <c r="B127" s="1" t="s">
        <v>181</v>
      </c>
      <c r="C127" s="12" t="s">
        <v>184</v>
      </c>
      <c r="D127" s="6">
        <v>9</v>
      </c>
      <c r="E127" s="6">
        <v>9</v>
      </c>
      <c r="F127" s="15" t="str">
        <f>IF(D127=E127, "", "X")</f>
        <v/>
      </c>
      <c r="G127" s="36">
        <f t="shared" si="6"/>
        <v>9</v>
      </c>
      <c r="H127" s="17" t="s">
        <v>278</v>
      </c>
      <c r="J127" s="15" t="s">
        <v>293</v>
      </c>
      <c r="K127" s="36" t="str">
        <f t="shared" si="7"/>
        <v>I</v>
      </c>
      <c r="L127" s="6" t="s">
        <v>268</v>
      </c>
      <c r="M127" s="6">
        <v>99</v>
      </c>
      <c r="N127" s="15" t="s">
        <v>333</v>
      </c>
      <c r="O127" s="36"/>
    </row>
    <row r="128" spans="1:15">
      <c r="A128" s="1" t="s">
        <v>91</v>
      </c>
      <c r="B128" s="1" t="s">
        <v>133</v>
      </c>
      <c r="C128" s="12" t="s">
        <v>185</v>
      </c>
      <c r="D128" s="6">
        <v>8</v>
      </c>
      <c r="E128" s="6">
        <v>8</v>
      </c>
      <c r="F128" s="15" t="str">
        <f>IF(D128=E128, "", "X")</f>
        <v/>
      </c>
      <c r="G128" s="36">
        <f t="shared" si="6"/>
        <v>8</v>
      </c>
      <c r="H128" s="17" t="s">
        <v>278</v>
      </c>
      <c r="I128" s="17" t="s">
        <v>285</v>
      </c>
      <c r="J128" s="15" t="str">
        <f t="shared" si="10"/>
        <v/>
      </c>
      <c r="K128" s="36" t="str">
        <f t="shared" si="7"/>
        <v>I</v>
      </c>
      <c r="L128" s="6" t="s">
        <v>289</v>
      </c>
      <c r="M128" s="6">
        <v>99</v>
      </c>
      <c r="N128" s="15" t="s">
        <v>333</v>
      </c>
      <c r="O128" s="36"/>
    </row>
    <row r="129" spans="1:15">
      <c r="A129" s="39" t="s">
        <v>378</v>
      </c>
      <c r="B129" s="1" t="s">
        <v>186</v>
      </c>
      <c r="C129" s="12" t="s">
        <v>187</v>
      </c>
      <c r="D129" s="6">
        <v>2</v>
      </c>
      <c r="E129" s="6">
        <v>3</v>
      </c>
      <c r="F129" s="15">
        <v>2</v>
      </c>
      <c r="G129" s="36">
        <f t="shared" si="6"/>
        <v>2</v>
      </c>
      <c r="H129" s="17" t="s">
        <v>267</v>
      </c>
      <c r="I129" s="17" t="s">
        <v>280</v>
      </c>
      <c r="J129" s="15"/>
      <c r="K129" s="36" t="str">
        <f t="shared" si="7"/>
        <v>R</v>
      </c>
      <c r="L129" s="6" t="s">
        <v>289</v>
      </c>
      <c r="M129" s="6">
        <v>99</v>
      </c>
      <c r="N129" s="15" t="s">
        <v>333</v>
      </c>
      <c r="O129" s="36"/>
    </row>
    <row r="130" spans="1:15">
      <c r="A130" s="1" t="s">
        <v>3</v>
      </c>
      <c r="B130" s="1" t="s">
        <v>158</v>
      </c>
      <c r="C130" s="12" t="s">
        <v>87</v>
      </c>
      <c r="D130" s="6">
        <v>2</v>
      </c>
      <c r="E130" s="6">
        <v>2</v>
      </c>
      <c r="F130" s="15" t="str">
        <f>IF(D130=E130, "", "X")</f>
        <v/>
      </c>
      <c r="G130" s="36">
        <f t="shared" si="6"/>
        <v>2</v>
      </c>
      <c r="I130" s="17" t="s">
        <v>280</v>
      </c>
      <c r="J130" s="15" t="s">
        <v>302</v>
      </c>
      <c r="K130" s="36" t="str">
        <f t="shared" si="7"/>
        <v>R</v>
      </c>
      <c r="L130" s="6" t="s">
        <v>289</v>
      </c>
      <c r="M130" s="6">
        <v>99</v>
      </c>
      <c r="N130" s="15" t="s">
        <v>333</v>
      </c>
      <c r="O130" s="36"/>
    </row>
    <row r="131" spans="1:15">
      <c r="A131" s="1" t="s">
        <v>3</v>
      </c>
      <c r="B131" s="1" t="s">
        <v>158</v>
      </c>
      <c r="C131" s="12" t="s">
        <v>188</v>
      </c>
      <c r="F131" s="15" t="str">
        <f>IF(D131=E131, "", "X")</f>
        <v/>
      </c>
      <c r="G131" s="36">
        <f t="shared" ref="G131:G194" si="14">IF(D131=E131,E131, F131)</f>
        <v>0</v>
      </c>
      <c r="J131" s="15"/>
      <c r="K131" s="36">
        <f t="shared" si="7"/>
        <v>0</v>
      </c>
      <c r="L131" s="6" t="s">
        <v>289</v>
      </c>
      <c r="M131" s="6">
        <v>99</v>
      </c>
      <c r="N131" s="15"/>
      <c r="O131" s="36"/>
    </row>
    <row r="132" spans="1:15">
      <c r="A132" s="1" t="s">
        <v>91</v>
      </c>
      <c r="B132" s="1" t="s">
        <v>133</v>
      </c>
      <c r="C132" s="12" t="s">
        <v>189</v>
      </c>
      <c r="D132" s="6">
        <v>5</v>
      </c>
      <c r="E132" s="6">
        <v>4</v>
      </c>
      <c r="F132" s="15">
        <v>4</v>
      </c>
      <c r="G132" s="36">
        <f t="shared" si="14"/>
        <v>4</v>
      </c>
      <c r="I132" s="17" t="s">
        <v>294</v>
      </c>
      <c r="J132" s="15"/>
      <c r="K132" s="36">
        <f t="shared" ref="K132:K195" si="15">IF(H132=I132,I132, J132)</f>
        <v>0</v>
      </c>
      <c r="L132" s="6"/>
      <c r="M132" s="6" t="s">
        <v>263</v>
      </c>
      <c r="N132" s="15" t="s">
        <v>316</v>
      </c>
      <c r="O132" s="36"/>
    </row>
    <row r="133" spans="1:15">
      <c r="A133" s="1" t="s">
        <v>91</v>
      </c>
      <c r="B133" s="1" t="s">
        <v>133</v>
      </c>
      <c r="C133" s="12" t="s">
        <v>190</v>
      </c>
      <c r="D133" s="6">
        <v>7</v>
      </c>
      <c r="E133" s="6">
        <v>7</v>
      </c>
      <c r="F133" s="15" t="str">
        <f>IF(D133=E133, "", "X")</f>
        <v/>
      </c>
      <c r="G133" s="36">
        <f t="shared" si="14"/>
        <v>7</v>
      </c>
      <c r="H133" s="17" t="s">
        <v>277</v>
      </c>
      <c r="J133" s="15" t="s">
        <v>294</v>
      </c>
      <c r="K133" s="36" t="str">
        <f t="shared" si="15"/>
        <v>W</v>
      </c>
      <c r="L133" s="6" t="s">
        <v>268</v>
      </c>
      <c r="M133" s="6" t="s">
        <v>266</v>
      </c>
      <c r="N133" s="15" t="s">
        <v>329</v>
      </c>
      <c r="O133" s="36"/>
    </row>
    <row r="134" spans="1:15">
      <c r="A134" s="1" t="s">
        <v>91</v>
      </c>
      <c r="B134" s="1" t="s">
        <v>177</v>
      </c>
      <c r="C134" s="11" t="s">
        <v>191</v>
      </c>
      <c r="D134" s="6">
        <v>7</v>
      </c>
      <c r="E134" s="6">
        <v>7</v>
      </c>
      <c r="F134" s="15" t="str">
        <f>IF(D134=E134, "", "X")</f>
        <v/>
      </c>
      <c r="G134" s="36">
        <f t="shared" si="14"/>
        <v>7</v>
      </c>
      <c r="H134" s="17" t="s">
        <v>277</v>
      </c>
      <c r="I134" s="17" t="s">
        <v>294</v>
      </c>
      <c r="J134" s="15" t="str">
        <f t="shared" si="10"/>
        <v/>
      </c>
      <c r="K134" s="36" t="str">
        <f t="shared" si="15"/>
        <v>W</v>
      </c>
      <c r="L134" s="6" t="s">
        <v>262</v>
      </c>
      <c r="M134" s="6" t="s">
        <v>266</v>
      </c>
      <c r="N134" s="15"/>
      <c r="O134" s="36"/>
    </row>
    <row r="135" spans="1:15" ht="30">
      <c r="A135" s="1" t="s">
        <v>91</v>
      </c>
      <c r="B135" s="1" t="s">
        <v>177</v>
      </c>
      <c r="C135" s="12" t="s">
        <v>192</v>
      </c>
      <c r="D135" s="6">
        <v>6</v>
      </c>
      <c r="E135" s="6">
        <v>5</v>
      </c>
      <c r="F135" s="15">
        <v>6</v>
      </c>
      <c r="G135" s="36">
        <f t="shared" si="14"/>
        <v>6</v>
      </c>
      <c r="H135" s="17" t="s">
        <v>277</v>
      </c>
      <c r="I135" s="17" t="s">
        <v>294</v>
      </c>
      <c r="J135" s="15" t="str">
        <f t="shared" si="10"/>
        <v/>
      </c>
      <c r="K135" s="36" t="str">
        <f t="shared" si="15"/>
        <v>W</v>
      </c>
      <c r="L135" s="6" t="s">
        <v>262</v>
      </c>
      <c r="M135" s="6" t="s">
        <v>266</v>
      </c>
      <c r="N135" s="15" t="str">
        <f t="shared" ref="N135:N150" si="16">IF(L135=M135, "", "X")</f>
        <v/>
      </c>
      <c r="O135" s="36"/>
    </row>
    <row r="136" spans="1:15">
      <c r="A136" s="1" t="s">
        <v>91</v>
      </c>
      <c r="B136" s="1" t="s">
        <v>133</v>
      </c>
      <c r="C136" s="12" t="s">
        <v>193</v>
      </c>
      <c r="D136" s="6">
        <v>8</v>
      </c>
      <c r="E136" s="6">
        <v>8</v>
      </c>
      <c r="F136" s="15" t="str">
        <f>IF(D136=E136, "", "X")</f>
        <v/>
      </c>
      <c r="G136" s="36">
        <f t="shared" si="14"/>
        <v>8</v>
      </c>
      <c r="H136" s="17" t="s">
        <v>278</v>
      </c>
      <c r="I136" s="17" t="s">
        <v>285</v>
      </c>
      <c r="J136" s="15" t="str">
        <f t="shared" si="10"/>
        <v/>
      </c>
      <c r="K136" s="36" t="str">
        <f t="shared" si="15"/>
        <v>I</v>
      </c>
      <c r="L136" s="6" t="s">
        <v>262</v>
      </c>
      <c r="M136" s="6" t="s">
        <v>263</v>
      </c>
      <c r="N136" s="15" t="s">
        <v>329</v>
      </c>
      <c r="O136" s="36"/>
    </row>
    <row r="137" spans="1:15">
      <c r="A137" s="39" t="s">
        <v>378</v>
      </c>
      <c r="B137" s="1" t="s">
        <v>155</v>
      </c>
      <c r="C137" s="12" t="s">
        <v>194</v>
      </c>
      <c r="D137" s="6">
        <v>5</v>
      </c>
      <c r="E137" s="6">
        <v>3</v>
      </c>
      <c r="F137" s="15">
        <v>5</v>
      </c>
      <c r="G137" s="36">
        <f t="shared" si="14"/>
        <v>5</v>
      </c>
      <c r="H137" s="17" t="s">
        <v>267</v>
      </c>
      <c r="I137" s="17" t="s">
        <v>280</v>
      </c>
      <c r="J137" s="15" t="str">
        <f t="shared" si="10"/>
        <v/>
      </c>
      <c r="K137" s="36" t="str">
        <f t="shared" si="15"/>
        <v>R</v>
      </c>
      <c r="L137" s="6" t="s">
        <v>262</v>
      </c>
      <c r="M137" s="6" t="s">
        <v>263</v>
      </c>
      <c r="N137" s="15" t="s">
        <v>334</v>
      </c>
      <c r="O137" s="36"/>
    </row>
    <row r="138" spans="1:15">
      <c r="A138" s="1" t="s">
        <v>91</v>
      </c>
      <c r="B138" s="1" t="s">
        <v>177</v>
      </c>
      <c r="C138" s="12" t="s">
        <v>195</v>
      </c>
      <c r="D138" s="6">
        <v>8</v>
      </c>
      <c r="E138" s="6">
        <v>9</v>
      </c>
      <c r="F138" s="15">
        <v>8</v>
      </c>
      <c r="G138" s="36">
        <f t="shared" si="14"/>
        <v>8</v>
      </c>
      <c r="H138" s="17" t="s">
        <v>277</v>
      </c>
      <c r="I138" s="17" t="s">
        <v>294</v>
      </c>
      <c r="J138" s="15" t="str">
        <f t="shared" si="10"/>
        <v/>
      </c>
      <c r="K138" s="36" t="str">
        <f t="shared" si="15"/>
        <v>W</v>
      </c>
      <c r="L138" s="6" t="s">
        <v>262</v>
      </c>
      <c r="M138" s="6" t="s">
        <v>263</v>
      </c>
      <c r="N138" s="15" t="s">
        <v>329</v>
      </c>
      <c r="O138" s="36"/>
    </row>
    <row r="139" spans="1:15">
      <c r="A139" s="1" t="s">
        <v>91</v>
      </c>
      <c r="B139" s="1" t="s">
        <v>157</v>
      </c>
      <c r="C139" s="12" t="s">
        <v>134</v>
      </c>
      <c r="D139" s="6">
        <v>7</v>
      </c>
      <c r="E139" s="6">
        <v>7</v>
      </c>
      <c r="F139" s="15" t="str">
        <f>IF(D139=E139, "", "X")</f>
        <v/>
      </c>
      <c r="G139" s="36">
        <f t="shared" si="14"/>
        <v>7</v>
      </c>
      <c r="H139" s="17" t="s">
        <v>278</v>
      </c>
      <c r="I139" s="17" t="s">
        <v>285</v>
      </c>
      <c r="J139" s="15" t="str">
        <f t="shared" si="10"/>
        <v/>
      </c>
      <c r="K139" s="36" t="str">
        <f t="shared" si="15"/>
        <v>I</v>
      </c>
      <c r="L139" s="6" t="s">
        <v>262</v>
      </c>
      <c r="M139" s="6" t="s">
        <v>263</v>
      </c>
      <c r="N139" s="15" t="s">
        <v>315</v>
      </c>
      <c r="O139" s="36"/>
    </row>
    <row r="140" spans="1:15">
      <c r="A140" s="39" t="s">
        <v>378</v>
      </c>
      <c r="B140" s="1" t="s">
        <v>4</v>
      </c>
      <c r="C140" s="12" t="s">
        <v>196</v>
      </c>
      <c r="D140" s="6">
        <v>6</v>
      </c>
      <c r="E140" s="6">
        <v>5</v>
      </c>
      <c r="F140" s="15">
        <v>6</v>
      </c>
      <c r="G140" s="36">
        <f t="shared" si="14"/>
        <v>6</v>
      </c>
      <c r="H140" s="17" t="s">
        <v>267</v>
      </c>
      <c r="I140" s="17" t="s">
        <v>280</v>
      </c>
      <c r="J140" s="15" t="str">
        <f t="shared" si="10"/>
        <v/>
      </c>
      <c r="K140" s="36" t="str">
        <f t="shared" si="15"/>
        <v>R</v>
      </c>
      <c r="L140" s="6" t="s">
        <v>290</v>
      </c>
      <c r="M140" s="6" t="s">
        <v>263</v>
      </c>
      <c r="N140" s="15" t="str">
        <f t="shared" si="16"/>
        <v/>
      </c>
      <c r="O140" s="36"/>
    </row>
    <row r="141" spans="1:15">
      <c r="A141" s="1" t="s">
        <v>91</v>
      </c>
      <c r="B141" s="1" t="s">
        <v>197</v>
      </c>
      <c r="C141" s="12" t="s">
        <v>198</v>
      </c>
      <c r="D141" s="6">
        <v>6</v>
      </c>
      <c r="E141" s="6">
        <v>5</v>
      </c>
      <c r="F141" s="15">
        <v>6</v>
      </c>
      <c r="G141" s="36">
        <f t="shared" si="14"/>
        <v>6</v>
      </c>
      <c r="I141" s="17" t="s">
        <v>294</v>
      </c>
      <c r="J141" s="15"/>
      <c r="K141" s="36">
        <f t="shared" si="15"/>
        <v>0</v>
      </c>
      <c r="L141" s="6" t="s">
        <v>290</v>
      </c>
      <c r="M141" s="6" t="s">
        <v>266</v>
      </c>
      <c r="N141" s="15" t="s">
        <v>329</v>
      </c>
      <c r="O141" s="36"/>
    </row>
    <row r="142" spans="1:15" ht="30">
      <c r="A142" s="1" t="s">
        <v>91</v>
      </c>
      <c r="B142" s="1" t="s">
        <v>197</v>
      </c>
      <c r="C142" s="12" t="s">
        <v>199</v>
      </c>
      <c r="D142" s="6">
        <v>4</v>
      </c>
      <c r="E142" s="6">
        <v>4</v>
      </c>
      <c r="F142" s="15" t="str">
        <f>IF(D142=E142, "", "X")</f>
        <v/>
      </c>
      <c r="G142" s="36">
        <f t="shared" si="14"/>
        <v>4</v>
      </c>
      <c r="I142" s="17" t="s">
        <v>294</v>
      </c>
      <c r="J142" s="15"/>
      <c r="K142" s="36">
        <f t="shared" si="15"/>
        <v>0</v>
      </c>
      <c r="L142" s="6" t="s">
        <v>262</v>
      </c>
      <c r="M142" s="6" t="s">
        <v>266</v>
      </c>
      <c r="N142" s="15" t="str">
        <f t="shared" si="16"/>
        <v/>
      </c>
      <c r="O142" s="36"/>
    </row>
    <row r="143" spans="1:15">
      <c r="A143" s="1" t="s">
        <v>91</v>
      </c>
      <c r="B143" s="1" t="s">
        <v>197</v>
      </c>
      <c r="C143" s="12" t="s">
        <v>135</v>
      </c>
      <c r="D143" s="6">
        <v>6</v>
      </c>
      <c r="E143" s="6">
        <v>5</v>
      </c>
      <c r="F143" s="15">
        <v>6</v>
      </c>
      <c r="G143" s="36">
        <f t="shared" si="14"/>
        <v>6</v>
      </c>
      <c r="I143" s="17" t="s">
        <v>294</v>
      </c>
      <c r="J143" s="15"/>
      <c r="K143" s="36">
        <f t="shared" si="15"/>
        <v>0</v>
      </c>
      <c r="L143" s="6" t="s">
        <v>262</v>
      </c>
      <c r="M143" s="6" t="s">
        <v>266</v>
      </c>
      <c r="N143" s="15" t="str">
        <f t="shared" si="16"/>
        <v/>
      </c>
      <c r="O143" s="36"/>
    </row>
    <row r="144" spans="1:15">
      <c r="A144" s="1" t="s">
        <v>91</v>
      </c>
      <c r="B144" s="1" t="s">
        <v>2</v>
      </c>
      <c r="C144" s="12" t="s">
        <v>136</v>
      </c>
      <c r="D144" s="6">
        <v>7</v>
      </c>
      <c r="E144" s="6">
        <v>7</v>
      </c>
      <c r="F144" s="15" t="str">
        <f>IF(D144=E144, "", "X")</f>
        <v/>
      </c>
      <c r="G144" s="36">
        <f t="shared" si="14"/>
        <v>7</v>
      </c>
      <c r="H144" s="17" t="s">
        <v>277</v>
      </c>
      <c r="I144" s="17" t="s">
        <v>306</v>
      </c>
      <c r="J144" s="15" t="str">
        <f t="shared" si="10"/>
        <v/>
      </c>
      <c r="K144" s="36" t="str">
        <f t="shared" si="15"/>
        <v>W</v>
      </c>
      <c r="L144" s="6" t="s">
        <v>262</v>
      </c>
      <c r="M144" s="6" t="s">
        <v>266</v>
      </c>
      <c r="N144" s="15" t="str">
        <f t="shared" si="16"/>
        <v/>
      </c>
      <c r="O144" s="36"/>
    </row>
    <row r="145" spans="1:15">
      <c r="A145" s="1" t="s">
        <v>91</v>
      </c>
      <c r="B145" s="1" t="s">
        <v>200</v>
      </c>
      <c r="C145" s="12" t="s">
        <v>201</v>
      </c>
      <c r="D145" s="6">
        <v>7</v>
      </c>
      <c r="E145" s="6">
        <v>7</v>
      </c>
      <c r="F145" s="15" t="str">
        <f>IF(D145=E145, "", "X")</f>
        <v/>
      </c>
      <c r="G145" s="36">
        <f t="shared" si="14"/>
        <v>7</v>
      </c>
      <c r="H145" s="17" t="s">
        <v>278</v>
      </c>
      <c r="I145" s="17" t="s">
        <v>285</v>
      </c>
      <c r="J145" s="15" t="str">
        <f t="shared" ref="J145:J150" si="17">IF(H145=I145, "", "X")</f>
        <v/>
      </c>
      <c r="K145" s="36" t="str">
        <f t="shared" si="15"/>
        <v>I</v>
      </c>
      <c r="L145" s="6" t="s">
        <v>262</v>
      </c>
      <c r="M145" s="6" t="s">
        <v>266</v>
      </c>
      <c r="N145" s="15" t="str">
        <f t="shared" si="16"/>
        <v/>
      </c>
      <c r="O145" s="36"/>
    </row>
    <row r="146" spans="1:15">
      <c r="A146" s="39" t="s">
        <v>378</v>
      </c>
      <c r="B146" s="1" t="s">
        <v>102</v>
      </c>
      <c r="C146" s="12" t="s">
        <v>327</v>
      </c>
      <c r="D146" s="6" t="s">
        <v>202</v>
      </c>
      <c r="E146" s="6">
        <v>10</v>
      </c>
      <c r="F146" s="15">
        <v>10</v>
      </c>
      <c r="G146" s="36">
        <f t="shared" si="14"/>
        <v>10</v>
      </c>
      <c r="H146" s="17" t="s">
        <v>278</v>
      </c>
      <c r="I146" s="17" t="s">
        <v>280</v>
      </c>
      <c r="J146" s="15" t="s">
        <v>293</v>
      </c>
      <c r="K146" s="36" t="str">
        <f t="shared" si="15"/>
        <v>I</v>
      </c>
      <c r="L146" s="6" t="s">
        <v>262</v>
      </c>
      <c r="M146" s="6" t="s">
        <v>266</v>
      </c>
      <c r="N146" s="15" t="str">
        <f t="shared" si="16"/>
        <v/>
      </c>
      <c r="O146" s="36"/>
    </row>
    <row r="147" spans="1:15">
      <c r="A147" s="1" t="s">
        <v>91</v>
      </c>
      <c r="B147" s="1" t="s">
        <v>113</v>
      </c>
      <c r="C147" s="12" t="s">
        <v>328</v>
      </c>
      <c r="D147" s="6" t="s">
        <v>203</v>
      </c>
      <c r="E147" s="6">
        <v>8</v>
      </c>
      <c r="F147" s="15">
        <v>10</v>
      </c>
      <c r="G147" s="36">
        <f t="shared" si="14"/>
        <v>10</v>
      </c>
      <c r="H147" s="17" t="s">
        <v>267</v>
      </c>
      <c r="I147" s="17" t="s">
        <v>296</v>
      </c>
      <c r="J147" s="15" t="s">
        <v>293</v>
      </c>
      <c r="K147" s="36" t="str">
        <f t="shared" si="15"/>
        <v>I</v>
      </c>
      <c r="L147" s="6" t="s">
        <v>262</v>
      </c>
      <c r="M147" s="6" t="s">
        <v>266</v>
      </c>
      <c r="N147" s="15" t="str">
        <f>IF(L147=M147, "", "X")</f>
        <v/>
      </c>
      <c r="O147" s="36"/>
    </row>
    <row r="148" spans="1:15">
      <c r="A148" s="39" t="s">
        <v>378</v>
      </c>
      <c r="B148" s="1" t="s">
        <v>102</v>
      </c>
      <c r="C148" s="12" t="s">
        <v>204</v>
      </c>
      <c r="D148" s="6">
        <v>6</v>
      </c>
      <c r="F148" s="15">
        <v>6</v>
      </c>
      <c r="G148" s="36">
        <f t="shared" si="14"/>
        <v>6</v>
      </c>
      <c r="H148" s="17" t="s">
        <v>267</v>
      </c>
      <c r="I148" s="17" t="s">
        <v>280</v>
      </c>
      <c r="J148" s="15" t="str">
        <f t="shared" si="17"/>
        <v/>
      </c>
      <c r="K148" s="36" t="str">
        <f t="shared" si="15"/>
        <v>R</v>
      </c>
      <c r="L148" s="6" t="s">
        <v>262</v>
      </c>
      <c r="M148" s="6" t="s">
        <v>266</v>
      </c>
      <c r="N148" s="15" t="str">
        <f t="shared" si="16"/>
        <v/>
      </c>
      <c r="O148" s="36"/>
    </row>
    <row r="149" spans="1:15">
      <c r="A149" s="39" t="s">
        <v>378</v>
      </c>
      <c r="B149" s="1" t="s">
        <v>97</v>
      </c>
      <c r="C149" s="12" t="s">
        <v>137</v>
      </c>
      <c r="D149" s="6">
        <v>6</v>
      </c>
      <c r="E149" s="6">
        <v>5</v>
      </c>
      <c r="F149" s="15">
        <v>6</v>
      </c>
      <c r="G149" s="36">
        <f t="shared" si="14"/>
        <v>6</v>
      </c>
      <c r="H149" s="17" t="s">
        <v>267</v>
      </c>
      <c r="I149" s="17" t="s">
        <v>280</v>
      </c>
      <c r="J149" s="15" t="str">
        <f t="shared" si="17"/>
        <v/>
      </c>
      <c r="K149" s="36" t="str">
        <f t="shared" si="15"/>
        <v>R</v>
      </c>
      <c r="L149" s="6" t="s">
        <v>262</v>
      </c>
      <c r="M149" s="6" t="s">
        <v>266</v>
      </c>
      <c r="N149" s="15" t="str">
        <f t="shared" si="16"/>
        <v/>
      </c>
      <c r="O149" s="36"/>
    </row>
    <row r="150" spans="1:15">
      <c r="A150" s="39" t="s">
        <v>378</v>
      </c>
      <c r="B150" s="1" t="s">
        <v>97</v>
      </c>
      <c r="C150" s="12" t="s">
        <v>138</v>
      </c>
      <c r="D150" s="6">
        <v>6</v>
      </c>
      <c r="F150" s="15">
        <v>6</v>
      </c>
      <c r="G150" s="36">
        <f t="shared" si="14"/>
        <v>6</v>
      </c>
      <c r="H150" s="17" t="s">
        <v>267</v>
      </c>
      <c r="I150" s="17" t="s">
        <v>280</v>
      </c>
      <c r="J150" s="15" t="str">
        <f t="shared" si="17"/>
        <v/>
      </c>
      <c r="K150" s="36" t="str">
        <f t="shared" si="15"/>
        <v>R</v>
      </c>
      <c r="L150" s="6" t="s">
        <v>262</v>
      </c>
      <c r="M150" s="6" t="s">
        <v>266</v>
      </c>
      <c r="N150" s="15" t="str">
        <f t="shared" si="16"/>
        <v/>
      </c>
      <c r="O150" s="36"/>
    </row>
    <row r="151" spans="1:15">
      <c r="A151" s="1" t="s">
        <v>91</v>
      </c>
      <c r="B151" s="1" t="s">
        <v>205</v>
      </c>
      <c r="C151" s="12" t="s">
        <v>139</v>
      </c>
      <c r="D151" s="6">
        <v>7</v>
      </c>
      <c r="E151" s="8">
        <v>7</v>
      </c>
      <c r="F151" s="15" t="str">
        <f t="shared" ref="F151:F160" si="18">IF(D151=E151, "", "X")</f>
        <v/>
      </c>
      <c r="G151" s="36">
        <f t="shared" si="14"/>
        <v>7</v>
      </c>
      <c r="H151" s="17" t="s">
        <v>278</v>
      </c>
      <c r="I151" s="17" t="s">
        <v>293</v>
      </c>
      <c r="J151" s="15" t="str">
        <f>IF(H151=I151, "", "X")</f>
        <v/>
      </c>
      <c r="K151" s="36" t="str">
        <f t="shared" si="15"/>
        <v>I</v>
      </c>
      <c r="L151" s="8" t="s">
        <v>262</v>
      </c>
      <c r="M151" s="8" t="s">
        <v>349</v>
      </c>
      <c r="N151" s="15" t="str">
        <f>IF(L151=M151,"", "X")</f>
        <v/>
      </c>
      <c r="O151" s="36"/>
    </row>
    <row r="152" spans="1:15">
      <c r="A152" s="39" t="s">
        <v>378</v>
      </c>
      <c r="B152" s="1" t="s">
        <v>140</v>
      </c>
      <c r="C152" s="12" t="s">
        <v>141</v>
      </c>
      <c r="D152" s="6">
        <v>6</v>
      </c>
      <c r="E152" s="8">
        <v>6</v>
      </c>
      <c r="F152" s="15" t="str">
        <f t="shared" si="18"/>
        <v/>
      </c>
      <c r="G152" s="36">
        <f t="shared" si="14"/>
        <v>6</v>
      </c>
      <c r="H152" s="17" t="s">
        <v>267</v>
      </c>
      <c r="I152" s="17" t="s">
        <v>281</v>
      </c>
      <c r="J152" s="15" t="str">
        <f t="shared" ref="J152:J206" si="19">IF(H152=I152, "", "X")</f>
        <v/>
      </c>
      <c r="K152" s="36" t="str">
        <f t="shared" si="15"/>
        <v>R</v>
      </c>
      <c r="L152" s="8" t="s">
        <v>262</v>
      </c>
      <c r="M152" s="8" t="s">
        <v>266</v>
      </c>
      <c r="N152" s="15" t="str">
        <f t="shared" ref="N152:N206" si="20">IF(L152=M152,"", "X")</f>
        <v/>
      </c>
      <c r="O152" s="36"/>
    </row>
    <row r="153" spans="1:15">
      <c r="A153" s="39" t="s">
        <v>378</v>
      </c>
      <c r="B153" s="1" t="s">
        <v>206</v>
      </c>
      <c r="C153" s="12" t="s">
        <v>207</v>
      </c>
      <c r="D153" s="6">
        <v>6</v>
      </c>
      <c r="E153" s="8">
        <v>6</v>
      </c>
      <c r="F153" s="15" t="str">
        <f t="shared" si="18"/>
        <v/>
      </c>
      <c r="G153" s="36">
        <f t="shared" si="14"/>
        <v>6</v>
      </c>
      <c r="H153" s="17" t="s">
        <v>267</v>
      </c>
      <c r="I153" s="17" t="s">
        <v>281</v>
      </c>
      <c r="J153" s="15" t="str">
        <f t="shared" si="19"/>
        <v/>
      </c>
      <c r="K153" s="36" t="str">
        <f t="shared" si="15"/>
        <v>R</v>
      </c>
      <c r="L153" s="8" t="s">
        <v>262</v>
      </c>
      <c r="M153" s="8" t="s">
        <v>266</v>
      </c>
      <c r="N153" s="15" t="str">
        <f t="shared" si="20"/>
        <v/>
      </c>
      <c r="O153" s="36"/>
    </row>
    <row r="154" spans="1:15">
      <c r="A154" s="39" t="s">
        <v>378</v>
      </c>
      <c r="B154" s="1" t="s">
        <v>206</v>
      </c>
      <c r="C154" s="12" t="s">
        <v>208</v>
      </c>
      <c r="D154" s="6">
        <v>2</v>
      </c>
      <c r="E154" s="8">
        <v>2</v>
      </c>
      <c r="F154" s="15" t="str">
        <f t="shared" si="18"/>
        <v/>
      </c>
      <c r="G154" s="36">
        <f t="shared" si="14"/>
        <v>2</v>
      </c>
      <c r="H154" s="17" t="s">
        <v>267</v>
      </c>
      <c r="I154" s="17" t="s">
        <v>281</v>
      </c>
      <c r="J154" s="15" t="str">
        <f t="shared" si="19"/>
        <v/>
      </c>
      <c r="K154" s="36" t="str">
        <f t="shared" si="15"/>
        <v>R</v>
      </c>
      <c r="L154" s="8" t="s">
        <v>262</v>
      </c>
      <c r="M154" s="8" t="s">
        <v>266</v>
      </c>
      <c r="N154" s="15" t="str">
        <f t="shared" si="20"/>
        <v/>
      </c>
      <c r="O154" s="36"/>
    </row>
    <row r="155" spans="1:15">
      <c r="A155" s="1" t="s">
        <v>91</v>
      </c>
      <c r="B155" s="1" t="s">
        <v>209</v>
      </c>
      <c r="C155" s="12" t="s">
        <v>142</v>
      </c>
      <c r="D155" s="6">
        <v>2</v>
      </c>
      <c r="E155" s="8">
        <v>2</v>
      </c>
      <c r="F155" s="15" t="str">
        <f t="shared" si="18"/>
        <v/>
      </c>
      <c r="G155" s="36">
        <f t="shared" si="14"/>
        <v>2</v>
      </c>
      <c r="H155" s="17" t="s">
        <v>278</v>
      </c>
      <c r="I155" s="17" t="s">
        <v>293</v>
      </c>
      <c r="J155" s="15" t="str">
        <f t="shared" si="19"/>
        <v/>
      </c>
      <c r="K155" s="36" t="str">
        <f t="shared" si="15"/>
        <v>I</v>
      </c>
      <c r="L155" s="8">
        <v>99</v>
      </c>
      <c r="M155" s="8">
        <v>99</v>
      </c>
      <c r="N155" s="15" t="str">
        <f t="shared" si="20"/>
        <v/>
      </c>
      <c r="O155" s="36"/>
    </row>
    <row r="156" spans="1:15">
      <c r="A156" s="39" t="s">
        <v>378</v>
      </c>
      <c r="B156" s="1" t="s">
        <v>210</v>
      </c>
      <c r="C156" s="12" t="s">
        <v>211</v>
      </c>
      <c r="D156" s="6">
        <v>2</v>
      </c>
      <c r="E156" s="8">
        <v>2</v>
      </c>
      <c r="F156" s="15" t="str">
        <f t="shared" si="18"/>
        <v/>
      </c>
      <c r="G156" s="36">
        <f t="shared" si="14"/>
        <v>2</v>
      </c>
      <c r="H156" s="17" t="s">
        <v>267</v>
      </c>
      <c r="I156" s="17" t="s">
        <v>281</v>
      </c>
      <c r="J156" s="15" t="str">
        <f t="shared" si="19"/>
        <v/>
      </c>
      <c r="K156" s="36" t="str">
        <f t="shared" si="15"/>
        <v>R</v>
      </c>
      <c r="L156" s="8">
        <v>99</v>
      </c>
      <c r="M156" s="8">
        <v>99</v>
      </c>
      <c r="N156" s="15" t="str">
        <f t="shared" si="20"/>
        <v/>
      </c>
      <c r="O156" s="36"/>
    </row>
    <row r="157" spans="1:15">
      <c r="A157" s="39" t="s">
        <v>378</v>
      </c>
      <c r="B157" s="1" t="s">
        <v>1</v>
      </c>
      <c r="C157" s="12" t="s">
        <v>212</v>
      </c>
      <c r="D157" s="6">
        <v>2</v>
      </c>
      <c r="E157" s="8">
        <v>2</v>
      </c>
      <c r="F157" s="15" t="str">
        <f t="shared" si="18"/>
        <v/>
      </c>
      <c r="G157" s="36">
        <f t="shared" si="14"/>
        <v>2</v>
      </c>
      <c r="H157" s="17" t="s">
        <v>267</v>
      </c>
      <c r="I157" s="17" t="s">
        <v>281</v>
      </c>
      <c r="J157" s="15" t="str">
        <f t="shared" si="19"/>
        <v/>
      </c>
      <c r="K157" s="36" t="str">
        <f t="shared" si="15"/>
        <v>R</v>
      </c>
      <c r="L157" s="8">
        <v>99</v>
      </c>
      <c r="M157" s="8">
        <v>99</v>
      </c>
      <c r="N157" s="15" t="str">
        <f t="shared" si="20"/>
        <v/>
      </c>
      <c r="O157" s="36"/>
    </row>
    <row r="158" spans="1:15">
      <c r="A158" s="1" t="s">
        <v>91</v>
      </c>
      <c r="B158" s="1" t="s">
        <v>213</v>
      </c>
      <c r="C158" s="12" t="s">
        <v>143</v>
      </c>
      <c r="D158" s="6">
        <v>4</v>
      </c>
      <c r="E158" s="8">
        <v>4</v>
      </c>
      <c r="F158" s="15" t="str">
        <f t="shared" si="18"/>
        <v/>
      </c>
      <c r="G158" s="36">
        <f t="shared" si="14"/>
        <v>4</v>
      </c>
      <c r="J158" s="15" t="str">
        <f t="shared" si="19"/>
        <v/>
      </c>
      <c r="K158" s="36">
        <f t="shared" si="15"/>
        <v>0</v>
      </c>
      <c r="L158" s="8" t="s">
        <v>341</v>
      </c>
      <c r="M158" s="8" t="s">
        <v>94</v>
      </c>
      <c r="N158" s="15" t="str">
        <f t="shared" si="20"/>
        <v/>
      </c>
      <c r="O158" s="36"/>
    </row>
    <row r="159" spans="1:15" ht="30">
      <c r="A159" s="1" t="s">
        <v>91</v>
      </c>
      <c r="B159" s="1" t="s">
        <v>213</v>
      </c>
      <c r="C159" s="12" t="s">
        <v>144</v>
      </c>
      <c r="D159" s="6">
        <v>6</v>
      </c>
      <c r="E159" s="8">
        <v>6</v>
      </c>
      <c r="F159" s="15" t="str">
        <f t="shared" si="18"/>
        <v/>
      </c>
      <c r="G159" s="36">
        <f t="shared" si="14"/>
        <v>6</v>
      </c>
      <c r="H159" s="17" t="s">
        <v>277</v>
      </c>
      <c r="I159" s="17" t="s">
        <v>93</v>
      </c>
      <c r="J159" s="15" t="str">
        <f t="shared" si="19"/>
        <v/>
      </c>
      <c r="K159" s="36" t="str">
        <f t="shared" si="15"/>
        <v>W</v>
      </c>
      <c r="L159" s="8" t="s">
        <v>342</v>
      </c>
      <c r="M159" s="8" t="s">
        <v>266</v>
      </c>
      <c r="N159" s="15" t="str">
        <f t="shared" si="20"/>
        <v/>
      </c>
      <c r="O159" s="36"/>
    </row>
    <row r="160" spans="1:15">
      <c r="A160" s="1" t="s">
        <v>91</v>
      </c>
      <c r="B160" s="1" t="s">
        <v>213</v>
      </c>
      <c r="C160" s="12" t="s">
        <v>145</v>
      </c>
      <c r="D160" s="6">
        <v>6</v>
      </c>
      <c r="E160" s="8">
        <v>6</v>
      </c>
      <c r="F160" s="15" t="str">
        <f t="shared" si="18"/>
        <v/>
      </c>
      <c r="G160" s="36">
        <f t="shared" si="14"/>
        <v>6</v>
      </c>
      <c r="J160" s="15" t="str">
        <f t="shared" si="19"/>
        <v/>
      </c>
      <c r="K160" s="36">
        <f t="shared" si="15"/>
        <v>0</v>
      </c>
      <c r="L160" s="8" t="s">
        <v>262</v>
      </c>
      <c r="M160" s="8" t="s">
        <v>266</v>
      </c>
      <c r="N160" s="15" t="str">
        <f t="shared" si="20"/>
        <v/>
      </c>
      <c r="O160" s="36"/>
    </row>
    <row r="161" spans="1:16" s="5" customFormat="1" ht="30">
      <c r="A161" s="1" t="s">
        <v>91</v>
      </c>
      <c r="B161" s="4" t="s">
        <v>2</v>
      </c>
      <c r="C161" s="12" t="s">
        <v>146</v>
      </c>
      <c r="D161" s="9">
        <v>6</v>
      </c>
      <c r="E161" s="9">
        <v>4</v>
      </c>
      <c r="F161" s="15">
        <v>4</v>
      </c>
      <c r="G161" s="36">
        <f t="shared" si="14"/>
        <v>4</v>
      </c>
      <c r="H161" s="18"/>
      <c r="I161" s="18"/>
      <c r="J161" s="15" t="str">
        <f t="shared" si="19"/>
        <v/>
      </c>
      <c r="K161" s="36">
        <f t="shared" si="15"/>
        <v>0</v>
      </c>
      <c r="L161" s="9" t="s">
        <v>262</v>
      </c>
      <c r="M161" s="9" t="s">
        <v>266</v>
      </c>
      <c r="N161" s="15" t="str">
        <f t="shared" si="20"/>
        <v/>
      </c>
      <c r="O161" s="36"/>
      <c r="P161" s="9"/>
    </row>
    <row r="162" spans="1:16">
      <c r="A162" s="1" t="s">
        <v>91</v>
      </c>
      <c r="B162" s="1" t="s">
        <v>213</v>
      </c>
      <c r="C162" s="12" t="s">
        <v>214</v>
      </c>
      <c r="D162" s="6">
        <v>6</v>
      </c>
      <c r="E162" s="8">
        <v>6</v>
      </c>
      <c r="F162" s="15" t="str">
        <f>IF(D162=E162, "", "X")</f>
        <v/>
      </c>
      <c r="G162" s="36">
        <f t="shared" si="14"/>
        <v>6</v>
      </c>
      <c r="J162" s="15" t="str">
        <f t="shared" si="19"/>
        <v/>
      </c>
      <c r="K162" s="36">
        <f t="shared" si="15"/>
        <v>0</v>
      </c>
      <c r="L162" s="8" t="s">
        <v>262</v>
      </c>
      <c r="M162" s="8" t="s">
        <v>266</v>
      </c>
      <c r="N162" s="15" t="str">
        <f t="shared" si="20"/>
        <v/>
      </c>
      <c r="O162" s="36"/>
    </row>
    <row r="163" spans="1:16" ht="30">
      <c r="A163" s="1" t="s">
        <v>91</v>
      </c>
      <c r="B163" s="4" t="s">
        <v>2</v>
      </c>
      <c r="C163" s="12" t="s">
        <v>215</v>
      </c>
      <c r="D163" s="6">
        <v>7</v>
      </c>
      <c r="E163" s="8">
        <v>7</v>
      </c>
      <c r="F163" s="15" t="str">
        <f>IF(D163=E163, "", "X")</f>
        <v/>
      </c>
      <c r="G163" s="36">
        <f t="shared" si="14"/>
        <v>7</v>
      </c>
      <c r="H163" s="17" t="s">
        <v>335</v>
      </c>
      <c r="I163" s="17" t="s">
        <v>293</v>
      </c>
      <c r="J163" s="15" t="s">
        <v>357</v>
      </c>
      <c r="K163" s="36" t="str">
        <f t="shared" si="15"/>
        <v>I</v>
      </c>
      <c r="L163" s="8" t="s">
        <v>262</v>
      </c>
      <c r="M163" s="8" t="s">
        <v>266</v>
      </c>
      <c r="N163" s="15" t="str">
        <f t="shared" si="20"/>
        <v/>
      </c>
      <c r="O163" s="36"/>
    </row>
    <row r="164" spans="1:16" s="3" customFormat="1" ht="90">
      <c r="A164" s="2" t="s">
        <v>94</v>
      </c>
      <c r="B164" s="2" t="s">
        <v>154</v>
      </c>
      <c r="C164" s="38" t="s">
        <v>271</v>
      </c>
      <c r="D164" s="10">
        <v>7</v>
      </c>
      <c r="E164" s="10">
        <v>7</v>
      </c>
      <c r="F164" s="16" t="str">
        <f>IF(D164=E164, "", "X")</f>
        <v/>
      </c>
      <c r="G164" s="36">
        <f t="shared" si="14"/>
        <v>7</v>
      </c>
      <c r="H164" s="19" t="s">
        <v>336</v>
      </c>
      <c r="I164" s="19" t="s">
        <v>293</v>
      </c>
      <c r="J164" s="16" t="str">
        <f>IF(H164=I164, "", "X")</f>
        <v/>
      </c>
      <c r="K164" s="36" t="str">
        <f t="shared" si="15"/>
        <v>I</v>
      </c>
      <c r="L164" s="10" t="s">
        <v>343</v>
      </c>
      <c r="M164" s="10" t="s">
        <v>350</v>
      </c>
      <c r="N164" s="16" t="str">
        <f t="shared" si="20"/>
        <v/>
      </c>
      <c r="O164" s="36"/>
      <c r="P164" s="9"/>
    </row>
    <row r="165" spans="1:16">
      <c r="A165" s="39" t="s">
        <v>378</v>
      </c>
      <c r="B165" s="1" t="s">
        <v>1</v>
      </c>
      <c r="C165" s="12" t="s">
        <v>147</v>
      </c>
      <c r="D165" s="6">
        <v>9</v>
      </c>
      <c r="E165" s="8">
        <v>7</v>
      </c>
      <c r="F165" s="15">
        <v>9</v>
      </c>
      <c r="G165" s="36">
        <f t="shared" si="14"/>
        <v>9</v>
      </c>
      <c r="H165" s="17" t="s">
        <v>281</v>
      </c>
      <c r="I165" s="17" t="s">
        <v>281</v>
      </c>
      <c r="J165" s="15" t="str">
        <f t="shared" si="19"/>
        <v/>
      </c>
      <c r="K165" s="36" t="str">
        <f t="shared" si="15"/>
        <v>R</v>
      </c>
      <c r="L165" s="8" t="s">
        <v>344</v>
      </c>
      <c r="M165" s="8" t="s">
        <v>351</v>
      </c>
      <c r="N165" s="31" t="s">
        <v>351</v>
      </c>
      <c r="O165" s="36"/>
    </row>
    <row r="166" spans="1:16">
      <c r="A166" s="1" t="s">
        <v>91</v>
      </c>
      <c r="B166" s="1" t="s">
        <v>213</v>
      </c>
      <c r="C166" s="12" t="s">
        <v>148</v>
      </c>
      <c r="D166" s="6">
        <v>6</v>
      </c>
      <c r="E166" s="8">
        <v>6</v>
      </c>
      <c r="F166" s="15" t="str">
        <f>IF(D166=E166, "", "X")</f>
        <v/>
      </c>
      <c r="G166" s="36">
        <f t="shared" si="14"/>
        <v>6</v>
      </c>
      <c r="H166" s="17" t="s">
        <v>337</v>
      </c>
      <c r="I166" s="17" t="s">
        <v>293</v>
      </c>
      <c r="J166" s="15" t="str">
        <f t="shared" si="19"/>
        <v/>
      </c>
      <c r="K166" s="36" t="str">
        <f t="shared" si="15"/>
        <v>I</v>
      </c>
      <c r="L166" s="8" t="s">
        <v>344</v>
      </c>
      <c r="M166" s="8" t="s">
        <v>266</v>
      </c>
      <c r="N166" s="15" t="s">
        <v>366</v>
      </c>
      <c r="O166" s="36"/>
    </row>
    <row r="167" spans="1:16">
      <c r="A167" s="39" t="s">
        <v>378</v>
      </c>
      <c r="B167" s="1" t="s">
        <v>1</v>
      </c>
      <c r="C167" s="12" t="s">
        <v>216</v>
      </c>
      <c r="D167" s="6">
        <v>6</v>
      </c>
      <c r="E167" s="8">
        <v>5</v>
      </c>
      <c r="F167" s="15">
        <v>5</v>
      </c>
      <c r="G167" s="36">
        <f t="shared" si="14"/>
        <v>5</v>
      </c>
      <c r="H167" s="17" t="s">
        <v>338</v>
      </c>
      <c r="I167" s="17" t="s">
        <v>281</v>
      </c>
      <c r="J167" s="15" t="str">
        <f t="shared" si="19"/>
        <v/>
      </c>
      <c r="K167" s="36" t="str">
        <f t="shared" si="15"/>
        <v>R</v>
      </c>
      <c r="L167" s="8" t="s">
        <v>344</v>
      </c>
      <c r="M167" s="8" t="s">
        <v>266</v>
      </c>
      <c r="N167" s="15" t="s">
        <v>366</v>
      </c>
      <c r="O167" s="36"/>
    </row>
    <row r="168" spans="1:16" s="27" customFormat="1">
      <c r="A168" s="1" t="s">
        <v>91</v>
      </c>
      <c r="B168" s="1" t="s">
        <v>213</v>
      </c>
      <c r="C168" s="12" t="s">
        <v>149</v>
      </c>
      <c r="D168" s="7">
        <v>6</v>
      </c>
      <c r="E168" s="7">
        <v>6</v>
      </c>
      <c r="F168" s="25" t="str">
        <f>IF(D168=E168, "", "X")</f>
        <v/>
      </c>
      <c r="G168" s="36">
        <f t="shared" si="14"/>
        <v>6</v>
      </c>
      <c r="H168" s="26"/>
      <c r="I168" s="26" t="s">
        <v>281</v>
      </c>
      <c r="J168" s="25" t="s">
        <v>358</v>
      </c>
      <c r="K168" s="36" t="str">
        <f t="shared" si="15"/>
        <v>R</v>
      </c>
      <c r="L168" s="7" t="s">
        <v>344</v>
      </c>
      <c r="M168" s="7" t="s">
        <v>352</v>
      </c>
      <c r="N168" s="25" t="s">
        <v>367</v>
      </c>
      <c r="O168" s="36"/>
      <c r="P168" s="9"/>
    </row>
    <row r="169" spans="1:16">
      <c r="A169" s="1" t="s">
        <v>3</v>
      </c>
      <c r="B169" s="1" t="s">
        <v>111</v>
      </c>
      <c r="C169" s="12" t="s">
        <v>150</v>
      </c>
      <c r="E169" s="8"/>
      <c r="F169" s="15" t="str">
        <f>IF(D169=E169, "", "X")</f>
        <v/>
      </c>
      <c r="G169" s="36">
        <f t="shared" si="14"/>
        <v>0</v>
      </c>
      <c r="J169" s="15" t="str">
        <f t="shared" si="19"/>
        <v/>
      </c>
      <c r="K169" s="36">
        <f t="shared" si="15"/>
        <v>0</v>
      </c>
      <c r="L169" s="8"/>
      <c r="M169" s="8"/>
      <c r="N169" s="15" t="str">
        <f t="shared" si="20"/>
        <v/>
      </c>
      <c r="O169" s="36"/>
    </row>
    <row r="170" spans="1:16" s="27" customFormat="1">
      <c r="A170" s="1" t="s">
        <v>91</v>
      </c>
      <c r="B170" s="1" t="s">
        <v>152</v>
      </c>
      <c r="C170" s="12" t="s">
        <v>151</v>
      </c>
      <c r="D170" s="7">
        <v>7</v>
      </c>
      <c r="E170" s="7">
        <v>8</v>
      </c>
      <c r="F170" s="25">
        <v>7</v>
      </c>
      <c r="G170" s="36">
        <f t="shared" si="14"/>
        <v>7</v>
      </c>
      <c r="H170" s="26" t="s">
        <v>339</v>
      </c>
      <c r="I170" s="26" t="s">
        <v>93</v>
      </c>
      <c r="J170" s="25" t="str">
        <f t="shared" si="19"/>
        <v/>
      </c>
      <c r="K170" s="36" t="str">
        <f t="shared" si="15"/>
        <v>W</v>
      </c>
      <c r="L170" s="7" t="s">
        <v>345</v>
      </c>
      <c r="M170" s="7" t="s">
        <v>353</v>
      </c>
      <c r="N170" s="25" t="s">
        <v>371</v>
      </c>
      <c r="O170" s="36"/>
      <c r="P170" s="9"/>
    </row>
    <row r="171" spans="1:16">
      <c r="A171" s="1" t="s">
        <v>3</v>
      </c>
      <c r="B171" s="1" t="s">
        <v>111</v>
      </c>
      <c r="C171" s="12" t="s">
        <v>150</v>
      </c>
      <c r="E171" s="8"/>
      <c r="F171" s="15" t="str">
        <f>IF(D171=E171, "", "X")</f>
        <v/>
      </c>
      <c r="G171" s="36">
        <f t="shared" si="14"/>
        <v>0</v>
      </c>
      <c r="J171" s="15" t="str">
        <f t="shared" si="19"/>
        <v/>
      </c>
      <c r="K171" s="36">
        <f t="shared" si="15"/>
        <v>0</v>
      </c>
      <c r="L171" s="8"/>
      <c r="M171" s="8"/>
      <c r="N171" s="15" t="str">
        <f t="shared" si="20"/>
        <v/>
      </c>
      <c r="O171" s="36"/>
    </row>
    <row r="172" spans="1:16" s="27" customFormat="1">
      <c r="A172" s="1" t="s">
        <v>91</v>
      </c>
      <c r="B172" s="1" t="s">
        <v>217</v>
      </c>
      <c r="C172" s="12" t="s">
        <v>218</v>
      </c>
      <c r="D172" s="7">
        <v>4</v>
      </c>
      <c r="E172" s="7">
        <v>6</v>
      </c>
      <c r="F172" s="25">
        <v>6</v>
      </c>
      <c r="G172" s="36">
        <f t="shared" si="14"/>
        <v>6</v>
      </c>
      <c r="H172" s="26" t="s">
        <v>340</v>
      </c>
      <c r="I172" s="26" t="s">
        <v>293</v>
      </c>
      <c r="J172" s="25" t="s">
        <v>359</v>
      </c>
      <c r="K172" s="36" t="str">
        <f t="shared" si="15"/>
        <v>N</v>
      </c>
      <c r="L172" s="7" t="s">
        <v>345</v>
      </c>
      <c r="M172" s="7" t="s">
        <v>353</v>
      </c>
      <c r="N172" s="25" t="s">
        <v>370</v>
      </c>
      <c r="O172" s="36"/>
      <c r="P172" s="9"/>
    </row>
    <row r="173" spans="1:16" s="27" customFormat="1">
      <c r="A173" s="39" t="s">
        <v>378</v>
      </c>
      <c r="B173" s="1" t="s">
        <v>1</v>
      </c>
      <c r="C173" s="12" t="s">
        <v>219</v>
      </c>
      <c r="D173" s="7">
        <v>7</v>
      </c>
      <c r="E173" s="7">
        <v>7</v>
      </c>
      <c r="F173" s="25" t="str">
        <f>IF(D173=E173, "", "X")</f>
        <v/>
      </c>
      <c r="G173" s="36">
        <f t="shared" si="14"/>
        <v>7</v>
      </c>
      <c r="H173" s="26" t="s">
        <v>338</v>
      </c>
      <c r="I173" s="26" t="s">
        <v>281</v>
      </c>
      <c r="J173" s="25" t="str">
        <f t="shared" si="19"/>
        <v/>
      </c>
      <c r="K173" s="36" t="str">
        <f t="shared" si="15"/>
        <v>R</v>
      </c>
      <c r="L173" s="7" t="s">
        <v>291</v>
      </c>
      <c r="M173" s="7" t="s">
        <v>353</v>
      </c>
      <c r="N173" s="25" t="s">
        <v>372</v>
      </c>
      <c r="O173" s="36"/>
      <c r="P173" s="9"/>
    </row>
    <row r="174" spans="1:16" s="27" customFormat="1">
      <c r="A174" s="1" t="s">
        <v>91</v>
      </c>
      <c r="B174" s="1" t="s">
        <v>133</v>
      </c>
      <c r="C174" s="12" t="s">
        <v>220</v>
      </c>
      <c r="D174" s="7">
        <v>4</v>
      </c>
      <c r="E174" s="7">
        <v>6</v>
      </c>
      <c r="F174" s="25">
        <v>6</v>
      </c>
      <c r="G174" s="36">
        <f t="shared" si="14"/>
        <v>6</v>
      </c>
      <c r="H174" s="26"/>
      <c r="I174" s="26" t="s">
        <v>93</v>
      </c>
      <c r="J174" s="25"/>
      <c r="K174" s="36">
        <f t="shared" si="15"/>
        <v>0</v>
      </c>
      <c r="L174" s="7" t="s">
        <v>291</v>
      </c>
      <c r="M174" s="7" t="s">
        <v>353</v>
      </c>
      <c r="N174" s="25" t="s">
        <v>373</v>
      </c>
      <c r="O174" s="36"/>
      <c r="P174" s="9"/>
    </row>
    <row r="175" spans="1:16">
      <c r="A175" s="1" t="s">
        <v>3</v>
      </c>
      <c r="B175" s="1" t="s">
        <v>221</v>
      </c>
      <c r="C175" s="12" t="s">
        <v>222</v>
      </c>
      <c r="E175" s="8"/>
      <c r="F175" s="15" t="str">
        <f>IF(D175=E175, "", "X")</f>
        <v/>
      </c>
      <c r="G175" s="36">
        <f t="shared" si="14"/>
        <v>0</v>
      </c>
      <c r="J175" s="15" t="str">
        <f t="shared" si="19"/>
        <v/>
      </c>
      <c r="K175" s="36">
        <f t="shared" si="15"/>
        <v>0</v>
      </c>
      <c r="L175" s="8"/>
      <c r="M175" s="8"/>
      <c r="N175" s="15" t="str">
        <f t="shared" si="20"/>
        <v/>
      </c>
      <c r="O175" s="36"/>
    </row>
    <row r="176" spans="1:16" s="27" customFormat="1">
      <c r="A176" s="1" t="s">
        <v>91</v>
      </c>
      <c r="B176" s="1" t="s">
        <v>133</v>
      </c>
      <c r="C176" s="12" t="s">
        <v>223</v>
      </c>
      <c r="D176" s="7">
        <v>7</v>
      </c>
      <c r="E176" s="7">
        <v>8</v>
      </c>
      <c r="F176" s="25">
        <v>7</v>
      </c>
      <c r="G176" s="36">
        <f t="shared" si="14"/>
        <v>7</v>
      </c>
      <c r="H176" s="26" t="s">
        <v>337</v>
      </c>
      <c r="I176" s="26" t="s">
        <v>293</v>
      </c>
      <c r="J176" s="25" t="str">
        <f t="shared" si="19"/>
        <v/>
      </c>
      <c r="K176" s="36" t="str">
        <f t="shared" si="15"/>
        <v>I</v>
      </c>
      <c r="L176" s="7" t="s">
        <v>345</v>
      </c>
      <c r="M176" s="7" t="s">
        <v>353</v>
      </c>
      <c r="N176" s="25" t="s">
        <v>372</v>
      </c>
      <c r="O176" s="36"/>
      <c r="P176" s="9"/>
    </row>
    <row r="177" spans="1:16">
      <c r="A177" s="39" t="s">
        <v>378</v>
      </c>
      <c r="B177" s="1" t="s">
        <v>1</v>
      </c>
      <c r="C177" s="12" t="s">
        <v>224</v>
      </c>
      <c r="D177" s="6">
        <v>6</v>
      </c>
      <c r="E177" s="8">
        <v>5</v>
      </c>
      <c r="F177" s="15">
        <v>6</v>
      </c>
      <c r="G177" s="36">
        <f t="shared" si="14"/>
        <v>6</v>
      </c>
      <c r="H177" s="17" t="s">
        <v>338</v>
      </c>
      <c r="I177" s="17" t="s">
        <v>281</v>
      </c>
      <c r="J177" s="15" t="str">
        <f t="shared" si="19"/>
        <v/>
      </c>
      <c r="K177" s="36" t="str">
        <f t="shared" si="15"/>
        <v>R</v>
      </c>
      <c r="L177" s="8" t="s">
        <v>345</v>
      </c>
      <c r="M177" s="8" t="s">
        <v>353</v>
      </c>
      <c r="N177" s="15" t="str">
        <f t="shared" si="20"/>
        <v/>
      </c>
      <c r="O177" s="36"/>
    </row>
    <row r="178" spans="1:16">
      <c r="A178" s="39" t="s">
        <v>378</v>
      </c>
      <c r="B178" s="1" t="s">
        <v>1</v>
      </c>
      <c r="C178" s="12" t="s">
        <v>225</v>
      </c>
      <c r="D178" s="6">
        <v>6</v>
      </c>
      <c r="E178" s="8">
        <v>5</v>
      </c>
      <c r="F178" s="15">
        <v>6</v>
      </c>
      <c r="G178" s="36">
        <f t="shared" si="14"/>
        <v>6</v>
      </c>
      <c r="H178" s="17" t="s">
        <v>338</v>
      </c>
      <c r="I178" s="17" t="s">
        <v>281</v>
      </c>
      <c r="J178" s="15" t="str">
        <f t="shared" si="19"/>
        <v/>
      </c>
      <c r="K178" s="36" t="str">
        <f t="shared" si="15"/>
        <v>R</v>
      </c>
      <c r="L178" s="8" t="s">
        <v>291</v>
      </c>
      <c r="M178" s="8" t="s">
        <v>353</v>
      </c>
      <c r="N178" s="15" t="str">
        <f t="shared" si="20"/>
        <v/>
      </c>
      <c r="O178" s="36"/>
    </row>
    <row r="179" spans="1:16">
      <c r="A179" s="1" t="s">
        <v>91</v>
      </c>
      <c r="B179" s="1" t="s">
        <v>226</v>
      </c>
      <c r="C179" s="12" t="s">
        <v>227</v>
      </c>
      <c r="D179" s="6">
        <v>4</v>
      </c>
      <c r="E179" s="8">
        <v>6</v>
      </c>
      <c r="F179" s="15">
        <v>6</v>
      </c>
      <c r="G179" s="36">
        <f t="shared" si="14"/>
        <v>6</v>
      </c>
      <c r="I179" s="17" t="s">
        <v>281</v>
      </c>
      <c r="J179" s="15" t="s">
        <v>358</v>
      </c>
      <c r="K179" s="36" t="str">
        <f t="shared" si="15"/>
        <v>R</v>
      </c>
      <c r="L179" s="8" t="s">
        <v>291</v>
      </c>
      <c r="M179" s="8" t="s">
        <v>353</v>
      </c>
      <c r="N179" s="15" t="str">
        <f t="shared" si="20"/>
        <v/>
      </c>
      <c r="O179" s="36"/>
    </row>
    <row r="180" spans="1:16">
      <c r="A180" s="1" t="s">
        <v>91</v>
      </c>
      <c r="B180" s="1" t="s">
        <v>226</v>
      </c>
      <c r="C180" s="12" t="s">
        <v>228</v>
      </c>
      <c r="D180" s="6">
        <v>7</v>
      </c>
      <c r="E180" s="8">
        <v>7</v>
      </c>
      <c r="F180" s="15" t="str">
        <f t="shared" ref="F180:F186" si="21">IF(D180=E180, "", "X")</f>
        <v/>
      </c>
      <c r="G180" s="36">
        <f t="shared" si="14"/>
        <v>7</v>
      </c>
      <c r="H180" s="17" t="s">
        <v>337</v>
      </c>
      <c r="I180" s="17" t="s">
        <v>293</v>
      </c>
      <c r="J180" s="15" t="str">
        <f t="shared" si="19"/>
        <v/>
      </c>
      <c r="K180" s="36" t="str">
        <f t="shared" si="15"/>
        <v>I</v>
      </c>
      <c r="L180" s="8" t="s">
        <v>291</v>
      </c>
      <c r="M180" s="8" t="s">
        <v>353</v>
      </c>
      <c r="N180" s="15" t="str">
        <f t="shared" si="20"/>
        <v/>
      </c>
      <c r="O180" s="36"/>
    </row>
    <row r="181" spans="1:16">
      <c r="A181" s="39" t="s">
        <v>378</v>
      </c>
      <c r="B181" s="1" t="s">
        <v>1</v>
      </c>
      <c r="C181" s="12" t="s">
        <v>229</v>
      </c>
      <c r="D181" s="6">
        <v>3</v>
      </c>
      <c r="E181" s="8">
        <v>3</v>
      </c>
      <c r="F181" s="15" t="str">
        <f t="shared" si="21"/>
        <v/>
      </c>
      <c r="G181" s="36">
        <f t="shared" si="14"/>
        <v>3</v>
      </c>
      <c r="H181" s="17" t="s">
        <v>338</v>
      </c>
      <c r="I181" s="17" t="s">
        <v>281</v>
      </c>
      <c r="J181" s="15" t="str">
        <f t="shared" si="19"/>
        <v/>
      </c>
      <c r="K181" s="36" t="str">
        <f t="shared" si="15"/>
        <v>R</v>
      </c>
      <c r="L181" s="8" t="s">
        <v>291</v>
      </c>
      <c r="M181" s="8" t="s">
        <v>353</v>
      </c>
      <c r="N181" s="15" t="str">
        <f t="shared" si="20"/>
        <v/>
      </c>
      <c r="O181" s="36"/>
    </row>
    <row r="182" spans="1:16">
      <c r="A182" s="1" t="s">
        <v>91</v>
      </c>
      <c r="B182" s="1" t="s">
        <v>133</v>
      </c>
      <c r="C182" s="12" t="s">
        <v>230</v>
      </c>
      <c r="D182" s="6">
        <v>7</v>
      </c>
      <c r="E182" s="8">
        <v>7</v>
      </c>
      <c r="F182" s="15" t="str">
        <f t="shared" si="21"/>
        <v/>
      </c>
      <c r="G182" s="36">
        <f t="shared" si="14"/>
        <v>7</v>
      </c>
      <c r="H182" s="17" t="s">
        <v>337</v>
      </c>
      <c r="I182" s="17" t="s">
        <v>293</v>
      </c>
      <c r="J182" s="15" t="str">
        <f t="shared" si="19"/>
        <v/>
      </c>
      <c r="K182" s="36" t="str">
        <f t="shared" si="15"/>
        <v>I</v>
      </c>
      <c r="L182" s="8" t="s">
        <v>291</v>
      </c>
      <c r="M182" s="8" t="s">
        <v>353</v>
      </c>
      <c r="N182" s="15" t="str">
        <f t="shared" si="20"/>
        <v/>
      </c>
      <c r="O182" s="36"/>
    </row>
    <row r="183" spans="1:16">
      <c r="A183" s="39" t="s">
        <v>378</v>
      </c>
      <c r="B183" s="1" t="s">
        <v>1</v>
      </c>
      <c r="C183" s="12" t="s">
        <v>231</v>
      </c>
      <c r="D183" s="6">
        <v>3</v>
      </c>
      <c r="E183" s="8">
        <v>3</v>
      </c>
      <c r="F183" s="15" t="str">
        <f t="shared" si="21"/>
        <v/>
      </c>
      <c r="G183" s="36">
        <f t="shared" si="14"/>
        <v>3</v>
      </c>
      <c r="H183" s="17" t="s">
        <v>338</v>
      </c>
      <c r="I183" s="17" t="s">
        <v>281</v>
      </c>
      <c r="J183" s="15" t="str">
        <f t="shared" si="19"/>
        <v/>
      </c>
      <c r="K183" s="36" t="str">
        <f t="shared" si="15"/>
        <v>R</v>
      </c>
      <c r="L183" s="8" t="s">
        <v>291</v>
      </c>
      <c r="M183" s="8" t="s">
        <v>353</v>
      </c>
      <c r="N183" s="15" t="str">
        <f t="shared" si="20"/>
        <v/>
      </c>
      <c r="O183" s="36"/>
    </row>
    <row r="184" spans="1:16">
      <c r="A184" s="1" t="s">
        <v>91</v>
      </c>
      <c r="B184" s="1" t="s">
        <v>232</v>
      </c>
      <c r="C184" s="12" t="s">
        <v>233</v>
      </c>
      <c r="D184" s="6">
        <v>6</v>
      </c>
      <c r="E184" s="8">
        <v>6</v>
      </c>
      <c r="F184" s="15" t="str">
        <f t="shared" si="21"/>
        <v/>
      </c>
      <c r="G184" s="36">
        <f t="shared" si="14"/>
        <v>6</v>
      </c>
      <c r="I184" s="17" t="s">
        <v>281</v>
      </c>
      <c r="J184" s="15" t="s">
        <v>360</v>
      </c>
      <c r="K184" s="36" t="str">
        <f t="shared" si="15"/>
        <v>R</v>
      </c>
      <c r="L184" s="8" t="s">
        <v>291</v>
      </c>
      <c r="M184" s="8" t="s">
        <v>353</v>
      </c>
      <c r="N184" s="15" t="str">
        <f t="shared" si="20"/>
        <v/>
      </c>
      <c r="O184" s="36"/>
    </row>
    <row r="185" spans="1:16">
      <c r="A185" s="1" t="s">
        <v>91</v>
      </c>
      <c r="B185" s="1" t="s">
        <v>133</v>
      </c>
      <c r="C185" s="12" t="s">
        <v>234</v>
      </c>
      <c r="D185" s="6">
        <v>4</v>
      </c>
      <c r="E185" s="8">
        <v>4</v>
      </c>
      <c r="F185" s="15" t="str">
        <f t="shared" si="21"/>
        <v/>
      </c>
      <c r="G185" s="36">
        <f t="shared" si="14"/>
        <v>4</v>
      </c>
      <c r="H185" s="17" t="s">
        <v>340</v>
      </c>
      <c r="I185" s="17" t="s">
        <v>293</v>
      </c>
      <c r="J185" s="15" t="s">
        <v>361</v>
      </c>
      <c r="K185" s="36" t="str">
        <f t="shared" si="15"/>
        <v>I</v>
      </c>
      <c r="L185" s="8" t="s">
        <v>291</v>
      </c>
      <c r="M185" s="8" t="s">
        <v>353</v>
      </c>
      <c r="N185" s="15" t="str">
        <f t="shared" si="20"/>
        <v/>
      </c>
      <c r="O185" s="36"/>
    </row>
    <row r="186" spans="1:16">
      <c r="A186" s="39" t="s">
        <v>378</v>
      </c>
      <c r="B186" s="1" t="s">
        <v>1</v>
      </c>
      <c r="C186" s="12" t="s">
        <v>235</v>
      </c>
      <c r="D186" s="6">
        <v>7</v>
      </c>
      <c r="E186" s="8">
        <v>7</v>
      </c>
      <c r="F186" s="15" t="str">
        <f t="shared" si="21"/>
        <v/>
      </c>
      <c r="G186" s="36">
        <f t="shared" si="14"/>
        <v>7</v>
      </c>
      <c r="H186" s="17" t="s">
        <v>338</v>
      </c>
      <c r="I186" s="17" t="s">
        <v>281</v>
      </c>
      <c r="J186" s="15" t="str">
        <f t="shared" si="19"/>
        <v/>
      </c>
      <c r="K186" s="36" t="str">
        <f t="shared" si="15"/>
        <v>R</v>
      </c>
      <c r="L186" s="8" t="s">
        <v>291</v>
      </c>
      <c r="M186" s="8" t="s">
        <v>353</v>
      </c>
      <c r="N186" s="15" t="str">
        <f t="shared" si="20"/>
        <v/>
      </c>
      <c r="O186" s="36"/>
    </row>
    <row r="187" spans="1:16">
      <c r="A187" s="1" t="s">
        <v>91</v>
      </c>
      <c r="B187" s="1" t="s">
        <v>133</v>
      </c>
      <c r="C187" s="11" t="s">
        <v>92</v>
      </c>
      <c r="D187" s="6">
        <v>10</v>
      </c>
      <c r="E187" s="8">
        <v>6</v>
      </c>
      <c r="F187" s="15">
        <v>10</v>
      </c>
      <c r="G187" s="36">
        <f t="shared" si="14"/>
        <v>10</v>
      </c>
      <c r="H187" s="17" t="s">
        <v>339</v>
      </c>
      <c r="I187" s="17" t="s">
        <v>93</v>
      </c>
      <c r="J187" s="15" t="str">
        <f t="shared" si="19"/>
        <v/>
      </c>
      <c r="K187" s="36" t="str">
        <f t="shared" si="15"/>
        <v>W</v>
      </c>
      <c r="L187" s="8" t="s">
        <v>291</v>
      </c>
      <c r="M187" s="8" t="s">
        <v>353</v>
      </c>
      <c r="N187" s="15" t="str">
        <f t="shared" si="20"/>
        <v/>
      </c>
      <c r="O187" s="36"/>
    </row>
    <row r="188" spans="1:16">
      <c r="A188" s="1" t="s">
        <v>91</v>
      </c>
      <c r="B188" s="1" t="s">
        <v>153</v>
      </c>
      <c r="C188" s="12" t="s">
        <v>236</v>
      </c>
      <c r="D188" s="6">
        <v>4</v>
      </c>
      <c r="E188" s="8">
        <v>4</v>
      </c>
      <c r="F188" s="15" t="str">
        <f t="shared" ref="F188:F203" si="22">IF(D188=E188, "", "X")</f>
        <v/>
      </c>
      <c r="G188" s="36">
        <f t="shared" si="14"/>
        <v>4</v>
      </c>
      <c r="J188" s="15" t="str">
        <f t="shared" si="19"/>
        <v/>
      </c>
      <c r="K188" s="36">
        <f t="shared" si="15"/>
        <v>0</v>
      </c>
      <c r="L188" s="8" t="s">
        <v>291</v>
      </c>
      <c r="M188" s="8" t="s">
        <v>353</v>
      </c>
      <c r="N188" s="15" t="str">
        <f t="shared" si="20"/>
        <v/>
      </c>
      <c r="O188" s="36"/>
    </row>
    <row r="189" spans="1:16">
      <c r="A189" s="1" t="s">
        <v>91</v>
      </c>
      <c r="B189" s="1" t="s">
        <v>237</v>
      </c>
      <c r="C189" s="12" t="s">
        <v>238</v>
      </c>
      <c r="D189" s="6">
        <v>7</v>
      </c>
      <c r="E189" s="8">
        <v>7</v>
      </c>
      <c r="F189" s="15" t="str">
        <f t="shared" si="22"/>
        <v/>
      </c>
      <c r="G189" s="36">
        <f t="shared" si="14"/>
        <v>7</v>
      </c>
      <c r="H189" s="17" t="s">
        <v>337</v>
      </c>
      <c r="I189" s="17" t="s">
        <v>293</v>
      </c>
      <c r="J189" s="15" t="str">
        <f t="shared" si="19"/>
        <v/>
      </c>
      <c r="K189" s="36" t="str">
        <f t="shared" si="15"/>
        <v>I</v>
      </c>
      <c r="L189" s="8" t="s">
        <v>291</v>
      </c>
      <c r="M189" s="8" t="s">
        <v>353</v>
      </c>
      <c r="N189" s="15" t="str">
        <f t="shared" si="20"/>
        <v/>
      </c>
      <c r="O189" s="36"/>
    </row>
    <row r="190" spans="1:16">
      <c r="A190" s="39" t="s">
        <v>378</v>
      </c>
      <c r="B190" s="1" t="s">
        <v>1</v>
      </c>
      <c r="C190" s="12" t="s">
        <v>239</v>
      </c>
      <c r="D190" s="6">
        <v>6</v>
      </c>
      <c r="E190" s="8">
        <v>6</v>
      </c>
      <c r="F190" s="15" t="str">
        <f t="shared" si="22"/>
        <v/>
      </c>
      <c r="G190" s="36">
        <f t="shared" si="14"/>
        <v>6</v>
      </c>
      <c r="H190" s="17" t="s">
        <v>338</v>
      </c>
      <c r="I190" s="17" t="s">
        <v>281</v>
      </c>
      <c r="J190" s="15" t="str">
        <f t="shared" si="19"/>
        <v/>
      </c>
      <c r="K190" s="36" t="str">
        <f t="shared" si="15"/>
        <v>R</v>
      </c>
      <c r="L190" s="8" t="s">
        <v>291</v>
      </c>
      <c r="M190" s="8" t="s">
        <v>353</v>
      </c>
      <c r="N190" s="15" t="str">
        <f t="shared" si="20"/>
        <v/>
      </c>
      <c r="O190" s="36"/>
    </row>
    <row r="191" spans="1:16">
      <c r="A191" s="1" t="s">
        <v>91</v>
      </c>
      <c r="B191" s="1" t="s">
        <v>133</v>
      </c>
      <c r="C191" s="12" t="s">
        <v>240</v>
      </c>
      <c r="D191" s="6">
        <v>7</v>
      </c>
      <c r="E191" s="8">
        <v>7</v>
      </c>
      <c r="F191" s="15" t="str">
        <f t="shared" si="22"/>
        <v/>
      </c>
      <c r="G191" s="36">
        <f t="shared" si="14"/>
        <v>7</v>
      </c>
      <c r="H191" s="17" t="s">
        <v>337</v>
      </c>
      <c r="I191" s="17" t="s">
        <v>293</v>
      </c>
      <c r="J191" s="15" t="str">
        <f t="shared" si="19"/>
        <v/>
      </c>
      <c r="K191" s="36" t="str">
        <f t="shared" si="15"/>
        <v>I</v>
      </c>
      <c r="L191" s="8" t="s">
        <v>291</v>
      </c>
      <c r="M191" s="8" t="s">
        <v>353</v>
      </c>
      <c r="N191" s="15" t="str">
        <f t="shared" si="20"/>
        <v/>
      </c>
      <c r="O191" s="36"/>
    </row>
    <row r="192" spans="1:16" s="5" customFormat="1">
      <c r="A192" s="1" t="s">
        <v>3</v>
      </c>
      <c r="B192" s="1" t="s">
        <v>241</v>
      </c>
      <c r="C192" s="12" t="s">
        <v>242</v>
      </c>
      <c r="D192" s="6">
        <v>6</v>
      </c>
      <c r="E192" s="9">
        <v>6</v>
      </c>
      <c r="F192" s="15" t="str">
        <f t="shared" si="22"/>
        <v/>
      </c>
      <c r="G192" s="36">
        <f t="shared" si="14"/>
        <v>6</v>
      </c>
      <c r="H192" s="18" t="s">
        <v>338</v>
      </c>
      <c r="I192" s="18" t="s">
        <v>281</v>
      </c>
      <c r="J192" s="15" t="str">
        <f t="shared" si="19"/>
        <v/>
      </c>
      <c r="K192" s="36" t="str">
        <f t="shared" si="15"/>
        <v>R</v>
      </c>
      <c r="L192" s="9" t="s">
        <v>291</v>
      </c>
      <c r="M192" s="8" t="s">
        <v>264</v>
      </c>
      <c r="N192" s="15" t="str">
        <f t="shared" si="20"/>
        <v/>
      </c>
      <c r="O192" s="36"/>
      <c r="P192" s="9"/>
    </row>
    <row r="193" spans="1:16" s="5" customFormat="1" ht="30">
      <c r="A193" s="1" t="s">
        <v>91</v>
      </c>
      <c r="B193" s="4" t="s">
        <v>133</v>
      </c>
      <c r="C193" s="12" t="s">
        <v>243</v>
      </c>
      <c r="D193" s="9">
        <v>7</v>
      </c>
      <c r="E193" s="9">
        <v>7</v>
      </c>
      <c r="F193" s="15" t="str">
        <f t="shared" si="22"/>
        <v/>
      </c>
      <c r="G193" s="36">
        <f t="shared" si="14"/>
        <v>7</v>
      </c>
      <c r="H193" s="18" t="s">
        <v>339</v>
      </c>
      <c r="I193" s="18" t="s">
        <v>93</v>
      </c>
      <c r="J193" s="15" t="str">
        <f t="shared" si="19"/>
        <v/>
      </c>
      <c r="K193" s="36" t="str">
        <f t="shared" si="15"/>
        <v>W</v>
      </c>
      <c r="L193" s="9" t="s">
        <v>291</v>
      </c>
      <c r="M193" s="8" t="s">
        <v>264</v>
      </c>
      <c r="N193" s="15" t="str">
        <f t="shared" si="20"/>
        <v/>
      </c>
      <c r="O193" s="36"/>
      <c r="P193" s="9"/>
    </row>
    <row r="194" spans="1:16" ht="30">
      <c r="A194" s="1" t="s">
        <v>91</v>
      </c>
      <c r="B194" s="1" t="s">
        <v>133</v>
      </c>
      <c r="C194" s="12" t="s">
        <v>244</v>
      </c>
      <c r="D194" s="6">
        <v>6</v>
      </c>
      <c r="E194" s="8">
        <v>6</v>
      </c>
      <c r="F194" s="15" t="str">
        <f t="shared" si="22"/>
        <v/>
      </c>
      <c r="G194" s="36">
        <f t="shared" si="14"/>
        <v>6</v>
      </c>
      <c r="H194" s="17" t="s">
        <v>339</v>
      </c>
      <c r="I194" s="17" t="s">
        <v>93</v>
      </c>
      <c r="J194" s="15" t="str">
        <f t="shared" si="19"/>
        <v/>
      </c>
      <c r="K194" s="36" t="str">
        <f t="shared" si="15"/>
        <v>W</v>
      </c>
      <c r="L194" s="8" t="s">
        <v>291</v>
      </c>
      <c r="M194" s="8" t="s">
        <v>354</v>
      </c>
      <c r="N194" s="15" t="str">
        <f t="shared" si="20"/>
        <v/>
      </c>
      <c r="O194" s="36"/>
    </row>
    <row r="195" spans="1:16" ht="30">
      <c r="A195" s="1" t="s">
        <v>91</v>
      </c>
      <c r="B195" s="4" t="s">
        <v>245</v>
      </c>
      <c r="C195" s="12" t="s">
        <v>246</v>
      </c>
      <c r="D195" s="9">
        <v>8</v>
      </c>
      <c r="E195" s="8">
        <v>8</v>
      </c>
      <c r="F195" s="15" t="str">
        <f t="shared" si="22"/>
        <v/>
      </c>
      <c r="G195" s="36">
        <f t="shared" ref="G195:G206" si="23">IF(D195=E195,E195, F195)</f>
        <v>8</v>
      </c>
      <c r="H195" s="17" t="s">
        <v>339</v>
      </c>
      <c r="I195" s="17" t="s">
        <v>293</v>
      </c>
      <c r="J195" s="15" t="s">
        <v>362</v>
      </c>
      <c r="K195" s="36" t="str">
        <f t="shared" si="15"/>
        <v>I</v>
      </c>
      <c r="L195" s="8" t="s">
        <v>291</v>
      </c>
      <c r="M195" s="8" t="s">
        <v>354</v>
      </c>
      <c r="N195" s="15" t="str">
        <f t="shared" si="20"/>
        <v/>
      </c>
      <c r="O195" s="36"/>
    </row>
    <row r="196" spans="1:16" s="3" customFormat="1" ht="90">
      <c r="A196" s="2" t="s">
        <v>94</v>
      </c>
      <c r="B196" s="2" t="s">
        <v>247</v>
      </c>
      <c r="C196" s="13" t="s">
        <v>270</v>
      </c>
      <c r="D196" s="10">
        <v>4</v>
      </c>
      <c r="E196" s="10">
        <v>4</v>
      </c>
      <c r="F196" s="15" t="str">
        <f t="shared" si="22"/>
        <v/>
      </c>
      <c r="G196" s="36">
        <f t="shared" si="23"/>
        <v>4</v>
      </c>
      <c r="H196" s="19" t="s">
        <v>337</v>
      </c>
      <c r="I196" s="19" t="s">
        <v>293</v>
      </c>
      <c r="J196" s="15" t="str">
        <f t="shared" si="19"/>
        <v/>
      </c>
      <c r="K196" s="36" t="str">
        <f t="shared" ref="K196:K206" si="24">IF(H196=I196,I196, J196)</f>
        <v>I</v>
      </c>
      <c r="L196" s="10" t="s">
        <v>291</v>
      </c>
      <c r="M196" s="10" t="s">
        <v>354</v>
      </c>
      <c r="N196" s="15" t="str">
        <f t="shared" si="20"/>
        <v/>
      </c>
      <c r="O196" s="36"/>
      <c r="P196" s="9"/>
    </row>
    <row r="197" spans="1:16">
      <c r="A197" s="39" t="s">
        <v>378</v>
      </c>
      <c r="B197" s="1" t="s">
        <v>1</v>
      </c>
      <c r="C197" s="12" t="s">
        <v>248</v>
      </c>
      <c r="D197" s="9">
        <v>9</v>
      </c>
      <c r="E197" s="8">
        <v>9</v>
      </c>
      <c r="F197" s="15" t="str">
        <f t="shared" si="22"/>
        <v/>
      </c>
      <c r="G197" s="36">
        <f t="shared" si="23"/>
        <v>9</v>
      </c>
      <c r="H197" s="17" t="s">
        <v>338</v>
      </c>
      <c r="I197" s="17" t="s">
        <v>281</v>
      </c>
      <c r="J197" s="15" t="str">
        <f t="shared" si="19"/>
        <v/>
      </c>
      <c r="K197" s="36" t="str">
        <f t="shared" si="24"/>
        <v>R</v>
      </c>
      <c r="L197" s="17" t="s">
        <v>346</v>
      </c>
      <c r="M197" s="9" t="s">
        <v>355</v>
      </c>
      <c r="N197" s="15" t="s">
        <v>366</v>
      </c>
      <c r="O197" s="36"/>
    </row>
    <row r="198" spans="1:16">
      <c r="A198" s="1" t="s">
        <v>91</v>
      </c>
      <c r="B198" s="1" t="s">
        <v>113</v>
      </c>
      <c r="C198" s="12" t="s">
        <v>249</v>
      </c>
      <c r="D198" s="6">
        <v>9</v>
      </c>
      <c r="E198" s="8">
        <v>9</v>
      </c>
      <c r="F198" s="15" t="str">
        <f t="shared" si="22"/>
        <v/>
      </c>
      <c r="G198" s="36">
        <f t="shared" si="23"/>
        <v>9</v>
      </c>
      <c r="H198" s="17" t="s">
        <v>339</v>
      </c>
      <c r="J198" s="15" t="s">
        <v>363</v>
      </c>
      <c r="K198" s="36" t="str">
        <f t="shared" si="24"/>
        <v>W</v>
      </c>
      <c r="L198" s="17" t="s">
        <v>347</v>
      </c>
      <c r="M198" s="9" t="s">
        <v>94</v>
      </c>
      <c r="N198" s="15" t="str">
        <f t="shared" si="20"/>
        <v/>
      </c>
      <c r="O198" s="36"/>
    </row>
    <row r="199" spans="1:16">
      <c r="A199" s="1" t="s">
        <v>91</v>
      </c>
      <c r="B199" s="1" t="s">
        <v>152</v>
      </c>
      <c r="C199" s="12" t="s">
        <v>250</v>
      </c>
      <c r="D199" s="6">
        <v>9</v>
      </c>
      <c r="E199" s="8">
        <v>9</v>
      </c>
      <c r="F199" s="15" t="str">
        <f t="shared" si="22"/>
        <v/>
      </c>
      <c r="G199" s="36">
        <f t="shared" si="23"/>
        <v>9</v>
      </c>
      <c r="H199" s="17" t="s">
        <v>337</v>
      </c>
      <c r="I199" s="17" t="s">
        <v>293</v>
      </c>
      <c r="J199" s="15" t="str">
        <f t="shared" si="19"/>
        <v/>
      </c>
      <c r="K199" s="36" t="str">
        <f t="shared" si="24"/>
        <v>I</v>
      </c>
      <c r="L199" s="17" t="s">
        <v>347</v>
      </c>
      <c r="M199" s="9" t="s">
        <v>94</v>
      </c>
      <c r="N199" s="15" t="str">
        <f t="shared" si="20"/>
        <v/>
      </c>
      <c r="O199" s="36"/>
    </row>
    <row r="200" spans="1:16">
      <c r="A200" s="39" t="s">
        <v>378</v>
      </c>
      <c r="B200" s="1" t="s">
        <v>251</v>
      </c>
      <c r="C200" s="12" t="s">
        <v>252</v>
      </c>
      <c r="D200" s="6">
        <v>7</v>
      </c>
      <c r="E200" s="8">
        <v>7</v>
      </c>
      <c r="F200" s="15" t="str">
        <f t="shared" si="22"/>
        <v/>
      </c>
      <c r="G200" s="36">
        <f t="shared" si="23"/>
        <v>7</v>
      </c>
      <c r="H200" s="17" t="s">
        <v>338</v>
      </c>
      <c r="I200" s="17" t="s">
        <v>281</v>
      </c>
      <c r="J200" s="15" t="str">
        <f t="shared" si="19"/>
        <v/>
      </c>
      <c r="K200" s="36" t="str">
        <f t="shared" si="24"/>
        <v>R</v>
      </c>
      <c r="L200" s="17" t="s">
        <v>348</v>
      </c>
      <c r="M200" s="9" t="s">
        <v>354</v>
      </c>
      <c r="N200" s="15" t="s">
        <v>366</v>
      </c>
      <c r="O200" s="36"/>
    </row>
    <row r="201" spans="1:16">
      <c r="A201" s="1" t="s">
        <v>3</v>
      </c>
      <c r="B201" s="50" t="s">
        <v>156</v>
      </c>
      <c r="C201" s="12" t="s">
        <v>253</v>
      </c>
      <c r="D201" s="6">
        <v>9</v>
      </c>
      <c r="E201" s="8">
        <v>9</v>
      </c>
      <c r="F201" s="15" t="str">
        <f t="shared" si="22"/>
        <v/>
      </c>
      <c r="G201" s="36">
        <f t="shared" si="23"/>
        <v>9</v>
      </c>
      <c r="H201" s="17" t="s">
        <v>337</v>
      </c>
      <c r="I201" s="17" t="s">
        <v>293</v>
      </c>
      <c r="J201" s="15" t="str">
        <f t="shared" si="19"/>
        <v/>
      </c>
      <c r="K201" s="36" t="str">
        <f t="shared" si="24"/>
        <v>I</v>
      </c>
      <c r="L201" s="17" t="s">
        <v>345</v>
      </c>
      <c r="M201" s="9" t="s">
        <v>356</v>
      </c>
      <c r="N201" s="15" t="s">
        <v>367</v>
      </c>
      <c r="O201" s="36"/>
    </row>
    <row r="202" spans="1:16">
      <c r="B202" s="50"/>
      <c r="C202" s="12" t="s">
        <v>254</v>
      </c>
      <c r="D202" s="6">
        <v>6</v>
      </c>
      <c r="E202" s="8">
        <v>6</v>
      </c>
      <c r="F202" s="15" t="str">
        <f t="shared" si="22"/>
        <v/>
      </c>
      <c r="G202" s="36">
        <f t="shared" si="23"/>
        <v>6</v>
      </c>
      <c r="I202" s="17" t="s">
        <v>293</v>
      </c>
      <c r="J202" s="15" t="s">
        <v>365</v>
      </c>
      <c r="K202" s="36" t="str">
        <f t="shared" si="24"/>
        <v>I</v>
      </c>
      <c r="L202" s="17" t="s">
        <v>344</v>
      </c>
      <c r="M202" s="9" t="s">
        <v>265</v>
      </c>
      <c r="N202" s="15" t="s">
        <v>367</v>
      </c>
      <c r="O202" s="36"/>
    </row>
    <row r="203" spans="1:16">
      <c r="B203" s="50"/>
      <c r="C203" s="12" t="s">
        <v>255</v>
      </c>
      <c r="D203" s="6">
        <v>6</v>
      </c>
      <c r="E203" s="8">
        <v>6</v>
      </c>
      <c r="F203" s="15" t="str">
        <f t="shared" si="22"/>
        <v/>
      </c>
      <c r="G203" s="36">
        <f t="shared" si="23"/>
        <v>6</v>
      </c>
      <c r="I203" s="17" t="s">
        <v>293</v>
      </c>
      <c r="J203" s="15" t="s">
        <v>362</v>
      </c>
      <c r="K203" s="36" t="str">
        <f t="shared" si="24"/>
        <v>I</v>
      </c>
      <c r="L203" s="17" t="s">
        <v>344</v>
      </c>
      <c r="M203" s="9" t="s">
        <v>265</v>
      </c>
      <c r="N203" s="15" t="s">
        <v>367</v>
      </c>
      <c r="O203" s="36"/>
    </row>
    <row r="204" spans="1:16">
      <c r="A204" s="1" t="s">
        <v>91</v>
      </c>
      <c r="B204" s="1" t="s">
        <v>133</v>
      </c>
      <c r="C204" s="12" t="s">
        <v>256</v>
      </c>
      <c r="D204" s="6">
        <v>10</v>
      </c>
      <c r="E204" s="8">
        <v>6</v>
      </c>
      <c r="F204" s="15">
        <v>10</v>
      </c>
      <c r="G204" s="36">
        <f t="shared" si="23"/>
        <v>10</v>
      </c>
      <c r="H204" s="17" t="s">
        <v>339</v>
      </c>
      <c r="I204" s="17" t="s">
        <v>281</v>
      </c>
      <c r="J204" s="15" t="s">
        <v>364</v>
      </c>
      <c r="K204" s="36" t="str">
        <f t="shared" si="24"/>
        <v>W</v>
      </c>
      <c r="L204" s="17" t="s">
        <v>344</v>
      </c>
      <c r="M204" s="9" t="s">
        <v>265</v>
      </c>
      <c r="N204" s="15" t="s">
        <v>367</v>
      </c>
      <c r="O204" s="36"/>
    </row>
    <row r="205" spans="1:16">
      <c r="A205" s="1" t="s">
        <v>91</v>
      </c>
      <c r="B205" s="1" t="s">
        <v>133</v>
      </c>
      <c r="C205" s="12" t="s">
        <v>257</v>
      </c>
      <c r="D205" s="6">
        <v>4</v>
      </c>
      <c r="E205" s="8">
        <v>4</v>
      </c>
      <c r="F205" s="15" t="str">
        <f t="shared" ref="F205:F206" si="25">IF(D205=E205, "", "X")</f>
        <v/>
      </c>
      <c r="G205" s="36">
        <f t="shared" si="23"/>
        <v>4</v>
      </c>
      <c r="H205" s="17" t="s">
        <v>337</v>
      </c>
      <c r="I205" s="17" t="s">
        <v>293</v>
      </c>
      <c r="J205" s="15" t="str">
        <f t="shared" si="19"/>
        <v/>
      </c>
      <c r="K205" s="36" t="str">
        <f t="shared" si="24"/>
        <v>I</v>
      </c>
      <c r="L205" s="17" t="s">
        <v>344</v>
      </c>
      <c r="M205" s="9" t="s">
        <v>264</v>
      </c>
      <c r="N205" s="15" t="str">
        <f t="shared" si="20"/>
        <v/>
      </c>
      <c r="O205" s="36"/>
    </row>
    <row r="206" spans="1:16">
      <c r="A206" s="39" t="s">
        <v>378</v>
      </c>
      <c r="B206" s="1" t="s">
        <v>258</v>
      </c>
      <c r="C206" s="12" t="s">
        <v>259</v>
      </c>
      <c r="D206" s="6">
        <v>6</v>
      </c>
      <c r="E206" s="8">
        <v>6</v>
      </c>
      <c r="F206" s="15" t="str">
        <f t="shared" si="25"/>
        <v/>
      </c>
      <c r="G206" s="36">
        <f t="shared" si="23"/>
        <v>6</v>
      </c>
      <c r="H206" s="17" t="s">
        <v>338</v>
      </c>
      <c r="I206" s="17" t="s">
        <v>281</v>
      </c>
      <c r="J206" s="15" t="str">
        <f t="shared" si="19"/>
        <v/>
      </c>
      <c r="K206" s="36" t="str">
        <f t="shared" si="24"/>
        <v>R</v>
      </c>
      <c r="L206" s="17" t="s">
        <v>344</v>
      </c>
      <c r="M206" s="9" t="s">
        <v>264</v>
      </c>
      <c r="N206" s="15" t="str">
        <f t="shared" si="20"/>
        <v/>
      </c>
      <c r="O206" s="36"/>
    </row>
  </sheetData>
  <mergeCells count="6">
    <mergeCell ref="H1:J1"/>
    <mergeCell ref="L1:N1"/>
    <mergeCell ref="B201:B203"/>
    <mergeCell ref="B50:B52"/>
    <mergeCell ref="D50:D52"/>
    <mergeCell ref="D1:F1"/>
  </mergeCells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20130514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 Haung</dc:creator>
  <cp:lastModifiedBy>HC WANG</cp:lastModifiedBy>
  <dcterms:created xsi:type="dcterms:W3CDTF">2014-01-02T07:56:37Z</dcterms:created>
  <dcterms:modified xsi:type="dcterms:W3CDTF">2015-06-08T01:21:58Z</dcterms:modified>
</cp:coreProperties>
</file>